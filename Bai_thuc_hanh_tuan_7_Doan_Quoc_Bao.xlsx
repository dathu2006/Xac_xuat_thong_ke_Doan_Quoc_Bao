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án rời rạc\"/>
    </mc:Choice>
  </mc:AlternateContent>
  <xr:revisionPtr revIDLastSave="0" documentId="13_ncr:1_{CDA680C6-677C-4145-9C6E-6BE494CB1496}" xr6:coauthVersionLast="47" xr6:coauthVersionMax="47" xr10:uidLastSave="{00000000-0000-0000-0000-000000000000}"/>
  <bookViews>
    <workbookView xWindow="-108" yWindow="-108" windowWidth="23256" windowHeight="12456" activeTab="1" xr2:uid="{19B790F5-49B5-498B-8216-DD09A157A2F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C12" i="2"/>
  <c r="B13" i="2"/>
  <c r="D2" i="2" s="1"/>
  <c r="C13" i="2"/>
  <c r="E2" i="2" s="1"/>
  <c r="F2" i="2" s="1"/>
  <c r="B7" i="1"/>
  <c r="C7" i="1"/>
  <c r="B8" i="1"/>
  <c r="D2" i="1" s="1"/>
  <c r="C8" i="1"/>
  <c r="E2" i="1" s="1"/>
  <c r="F2" i="1" s="1"/>
  <c r="G2" i="2" l="1"/>
  <c r="H2" i="2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B18" i="2" s="1"/>
  <c r="D11" i="2"/>
  <c r="D10" i="2"/>
  <c r="D9" i="2"/>
  <c r="D8" i="2"/>
  <c r="D7" i="2"/>
  <c r="D6" i="2"/>
  <c r="D5" i="2"/>
  <c r="D4" i="2"/>
  <c r="D3" i="2"/>
  <c r="G2" i="1"/>
  <c r="H2" i="1"/>
  <c r="E6" i="1"/>
  <c r="F6" i="1" s="1"/>
  <c r="E5" i="1"/>
  <c r="F5" i="1" s="1"/>
  <c r="E4" i="1"/>
  <c r="F4" i="1" s="1"/>
  <c r="E3" i="1"/>
  <c r="F3" i="1" s="1"/>
  <c r="B13" i="1" s="1"/>
  <c r="D6" i="1"/>
  <c r="D5" i="1"/>
  <c r="D4" i="1"/>
  <c r="D3" i="1"/>
  <c r="G10" i="2" l="1"/>
  <c r="H10" i="2"/>
  <c r="G9" i="2"/>
  <c r="H9" i="2"/>
  <c r="G6" i="2"/>
  <c r="H6" i="2"/>
  <c r="H12" i="2"/>
  <c r="G3" i="2"/>
  <c r="G12" i="2" s="1"/>
  <c r="B14" i="2" s="1"/>
  <c r="B15" i="2" s="1"/>
  <c r="H3" i="2"/>
  <c r="G7" i="2"/>
  <c r="H7" i="2"/>
  <c r="G11" i="2"/>
  <c r="H11" i="2"/>
  <c r="G4" i="2"/>
  <c r="H4" i="2"/>
  <c r="G5" i="2"/>
  <c r="H5" i="2"/>
  <c r="G8" i="2"/>
  <c r="H8" i="2"/>
  <c r="G3" i="1"/>
  <c r="H3" i="1"/>
  <c r="G4" i="1"/>
  <c r="H4" i="1"/>
  <c r="H7" i="1" s="1"/>
  <c r="H5" i="1"/>
  <c r="G5" i="1"/>
  <c r="G7" i="1"/>
  <c r="B18" i="1"/>
  <c r="G6" i="1"/>
  <c r="H6" i="1"/>
  <c r="I9" i="2" l="1"/>
  <c r="J9" i="2" s="1"/>
  <c r="K9" i="2" s="1"/>
  <c r="I5" i="2"/>
  <c r="J5" i="2" s="1"/>
  <c r="K5" i="2" s="1"/>
  <c r="I6" i="2"/>
  <c r="J6" i="2" s="1"/>
  <c r="K6" i="2" s="1"/>
  <c r="I10" i="2"/>
  <c r="J10" i="2" s="1"/>
  <c r="K10" i="2" s="1"/>
  <c r="I3" i="2"/>
  <c r="J3" i="2" s="1"/>
  <c r="K3" i="2" s="1"/>
  <c r="I8" i="2"/>
  <c r="J8" i="2" s="1"/>
  <c r="K8" i="2" s="1"/>
  <c r="I4" i="2"/>
  <c r="J4" i="2" s="1"/>
  <c r="K4" i="2" s="1"/>
  <c r="I7" i="2"/>
  <c r="J7" i="2" s="1"/>
  <c r="K7" i="2" s="1"/>
  <c r="I11" i="2"/>
  <c r="J11" i="2" s="1"/>
  <c r="K11" i="2" s="1"/>
  <c r="I2" i="2"/>
  <c r="J2" i="2" s="1"/>
  <c r="K2" i="2" s="1"/>
  <c r="B9" i="1"/>
  <c r="B10" i="1" s="1"/>
  <c r="B17" i="2" l="1"/>
  <c r="I2" i="1"/>
  <c r="J2" i="1" s="1"/>
  <c r="K2" i="1" s="1"/>
  <c r="I4" i="1"/>
  <c r="J4" i="1" s="1"/>
  <c r="K4" i="1" s="1"/>
  <c r="I5" i="1"/>
  <c r="J5" i="1" s="1"/>
  <c r="K5" i="1" s="1"/>
  <c r="I6" i="1"/>
  <c r="J6" i="1" s="1"/>
  <c r="K6" i="1" s="1"/>
  <c r="I3" i="1"/>
  <c r="J3" i="1" s="1"/>
  <c r="K3" i="1" s="1"/>
  <c r="B19" i="2" l="1"/>
  <c r="B20" i="2"/>
  <c r="B12" i="1"/>
  <c r="B17" i="1"/>
  <c r="B19" i="1" l="1"/>
  <c r="B20" i="1"/>
  <c r="B14" i="1"/>
  <c r="B15" i="1"/>
</calcChain>
</file>

<file path=xl/sharedStrings.xml><?xml version="1.0" encoding="utf-8"?>
<sst xmlns="http://schemas.openxmlformats.org/spreadsheetml/2006/main" count="72" uniqueCount="48">
  <si>
    <t>STT</t>
  </si>
  <si>
    <t>x_i</t>
  </si>
  <si>
    <t>y_i</t>
  </si>
  <si>
    <t>x_i - x ngang</t>
  </si>
  <si>
    <t>y_i - y ngang</t>
  </si>
  <si>
    <t>(y_i - y ngang)^2</t>
  </si>
  <si>
    <t>(x_i - x ngang)*(y_i - y ngang)</t>
  </si>
  <si>
    <t>(x_i - x ngang)^2</t>
  </si>
  <si>
    <t>y^</t>
  </si>
  <si>
    <t>e</t>
  </si>
  <si>
    <t>e^2</t>
  </si>
  <si>
    <t>Tổng</t>
  </si>
  <si>
    <t>Trung bình</t>
  </si>
  <si>
    <t>Beta1</t>
  </si>
  <si>
    <t>Beta0</t>
  </si>
  <si>
    <t>PT Hồi quy</t>
  </si>
  <si>
    <t>Beta0+Beta1*x</t>
  </si>
  <si>
    <t>SSE</t>
  </si>
  <si>
    <t>SST</t>
  </si>
  <si>
    <t>R^2</t>
  </si>
  <si>
    <t>MSE</t>
  </si>
  <si>
    <t>e=y_i - y^</t>
  </si>
  <si>
    <t>Mô hình hoàn hảo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</si>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</sst>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4" xfId="0" applyNumberFormat="1" applyFont="1" applyFill="1" applyBorder="1" applyAlignment="1" applyProtection="1">
      <alignment vertical="center"/>
    </xf>
    <xf numFmtId="0" fontId="1" fillId="0" borderId="5" xfId="0" applyNumberFormat="1" applyFont="1" applyFill="1" applyBorder="1" applyAlignment="1" applyProtection="1">
      <alignment vertical="center"/>
    </xf>
    <xf numFmtId="0" fontId="1" fillId="0" borderId="6" xfId="0" applyNumberFormat="1" applyFont="1" applyFill="1" applyBorder="1" applyAlignment="1" applyProtection="1">
      <alignment vertical="center"/>
    </xf>
    <xf numFmtId="0" fontId="1" fillId="0" borderId="7" xfId="0" applyNumberFormat="1" applyFont="1" applyFill="1" applyBorder="1" applyAlignment="1" applyProtection="1">
      <alignment vertical="center"/>
    </xf>
    <xf numFmtId="0" fontId="1" fillId="0" borderId="8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1" fillId="0" borderId="2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0" fillId="0" borderId="0" xfId="0" applyAlignment="1">
      <alignment wrapText="1"/>
    </xf>
    <xf numFmtId="0" fontId="2" fillId="0" borderId="11" xfId="0" applyFont="1" applyFill="1" applyBorder="1" applyAlignment="1">
      <alignment horizontal="centerContinuous" wrapText="1"/>
    </xf>
    <xf numFmtId="0" fontId="2" fillId="0" borderId="12" xfId="0" applyFont="1" applyFill="1" applyBorder="1" applyAlignment="1">
      <alignment horizontal="centerContinuous" wrapText="1"/>
    </xf>
    <xf numFmtId="0" fontId="0" fillId="0" borderId="13" xfId="0" applyFill="1" applyBorder="1" applyAlignment="1">
      <alignment wrapText="1"/>
    </xf>
    <xf numFmtId="0" fontId="0" fillId="0" borderId="14" xfId="0" applyFill="1" applyBorder="1" applyAlignment="1">
      <alignment wrapText="1"/>
    </xf>
    <xf numFmtId="0" fontId="0" fillId="0" borderId="15" xfId="0" applyFill="1" applyBorder="1" applyAlignment="1">
      <alignment wrapText="1"/>
    </xf>
    <xf numFmtId="0" fontId="0" fillId="0" borderId="16" xfId="0" applyFill="1" applyBorder="1" applyAlignment="1">
      <alignment wrapText="1"/>
    </xf>
    <xf numFmtId="0" fontId="2" fillId="0" borderId="11" xfId="0" applyFont="1" applyFill="1" applyBorder="1" applyAlignment="1">
      <alignment horizontal="center" wrapText="1"/>
    </xf>
    <xf numFmtId="0" fontId="2" fillId="0" borderId="10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0394-2BB8-4BA6-A0E2-F1514AF1C9B7}">
  <dimension ref="A1:K20"/>
  <sheetViews>
    <sheetView workbookViewId="0">
      <selection activeCell="C29" sqref="C29"/>
    </sheetView>
  </sheetViews>
  <sheetFormatPr defaultRowHeight="14.4"/>
  <sheetData>
    <row r="1" spans="1:11">
      <c r="A1" s="4"/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21</v>
      </c>
      <c r="K1" s="2" t="s">
        <v>10</v>
      </c>
    </row>
    <row r="2" spans="1:11">
      <c r="A2" s="7"/>
      <c r="B2" s="2">
        <v>2</v>
      </c>
      <c r="C2" s="2">
        <v>4</v>
      </c>
      <c r="D2" s="2">
        <f>B2-$B$8</f>
        <v>-2</v>
      </c>
      <c r="E2" s="2">
        <f>C2-$C$8</f>
        <v>-2</v>
      </c>
      <c r="F2" s="2">
        <f>E2^2</f>
        <v>4</v>
      </c>
      <c r="G2" s="2">
        <f>D2*E2</f>
        <v>4</v>
      </c>
      <c r="H2" s="6">
        <f>D2^2</f>
        <v>4</v>
      </c>
      <c r="I2" s="2">
        <f>$B$10+$B$9*B2</f>
        <v>4</v>
      </c>
      <c r="J2" s="2">
        <f>C2-I2</f>
        <v>0</v>
      </c>
      <c r="K2" s="2">
        <f>J2^2</f>
        <v>0</v>
      </c>
    </row>
    <row r="3" spans="1:11">
      <c r="A3" s="7"/>
      <c r="B3" s="2">
        <v>3</v>
      </c>
      <c r="C3" s="2">
        <v>5</v>
      </c>
      <c r="D3" s="2">
        <f>B3-$B$8</f>
        <v>-1</v>
      </c>
      <c r="E3" s="2">
        <f>C3-$C$8</f>
        <v>-1</v>
      </c>
      <c r="F3" s="2">
        <f>E3^2</f>
        <v>1</v>
      </c>
      <c r="G3" s="2">
        <f>D3*E3</f>
        <v>1</v>
      </c>
      <c r="H3" s="6">
        <f>D3^2</f>
        <v>1</v>
      </c>
      <c r="I3" s="2">
        <f>$B$10+$B$9*B3</f>
        <v>5</v>
      </c>
      <c r="J3" s="2">
        <f>C3-I3</f>
        <v>0</v>
      </c>
      <c r="K3" s="2">
        <f>J3^2</f>
        <v>0</v>
      </c>
    </row>
    <row r="4" spans="1:11">
      <c r="A4" s="7"/>
      <c r="B4" s="2">
        <v>4</v>
      </c>
      <c r="C4" s="2">
        <v>6</v>
      </c>
      <c r="D4" s="2">
        <f>B4-$B$8</f>
        <v>0</v>
      </c>
      <c r="E4" s="2">
        <f>C4-$C$8</f>
        <v>0</v>
      </c>
      <c r="F4" s="2">
        <f>E4^2</f>
        <v>0</v>
      </c>
      <c r="G4" s="2">
        <f>D4*E4</f>
        <v>0</v>
      </c>
      <c r="H4" s="6">
        <f>D4^2</f>
        <v>0</v>
      </c>
      <c r="I4" s="2">
        <f>$B$10+$B$9*B4</f>
        <v>6</v>
      </c>
      <c r="J4" s="2">
        <f>C4-I4</f>
        <v>0</v>
      </c>
      <c r="K4" s="2">
        <f>J4^2</f>
        <v>0</v>
      </c>
    </row>
    <row r="5" spans="1:11">
      <c r="A5" s="7"/>
      <c r="B5" s="2">
        <v>5</v>
      </c>
      <c r="C5" s="2">
        <v>7</v>
      </c>
      <c r="D5" s="2">
        <f>B5-$B$8</f>
        <v>1</v>
      </c>
      <c r="E5" s="2">
        <f>C5-$C$8</f>
        <v>1</v>
      </c>
      <c r="F5" s="2">
        <f>E5^2</f>
        <v>1</v>
      </c>
      <c r="G5" s="2">
        <f>D5*E5</f>
        <v>1</v>
      </c>
      <c r="H5" s="6">
        <f>D5^2</f>
        <v>1</v>
      </c>
      <c r="I5" s="2">
        <f>$B$10+$B$9*B5</f>
        <v>7</v>
      </c>
      <c r="J5" s="2">
        <f>C5-I5</f>
        <v>0</v>
      </c>
      <c r="K5" s="2">
        <f>J5^2</f>
        <v>0</v>
      </c>
    </row>
    <row r="6" spans="1:11">
      <c r="A6" s="7"/>
      <c r="B6" s="8">
        <v>6</v>
      </c>
      <c r="C6" s="8">
        <v>8</v>
      </c>
      <c r="D6" s="8">
        <f>B6-$B$8</f>
        <v>2</v>
      </c>
      <c r="E6" s="8">
        <f>C6-$C$8</f>
        <v>2</v>
      </c>
      <c r="F6" s="2">
        <f>E6^2</f>
        <v>4</v>
      </c>
      <c r="G6" s="8">
        <f>D6*E6</f>
        <v>4</v>
      </c>
      <c r="H6" s="9">
        <f>D6^2</f>
        <v>4</v>
      </c>
      <c r="I6" s="2">
        <f>$B$10+$B$9*B6</f>
        <v>8</v>
      </c>
      <c r="J6" s="2">
        <f>C6-I6</f>
        <v>0</v>
      </c>
      <c r="K6" s="2">
        <f>J6^2</f>
        <v>0</v>
      </c>
    </row>
    <row r="7" spans="1:11">
      <c r="A7" s="3" t="s">
        <v>11</v>
      </c>
      <c r="B7" s="3">
        <f>SUM(B2:B6)</f>
        <v>20</v>
      </c>
      <c r="C7" s="3">
        <f>SUM(C2:C6)</f>
        <v>30</v>
      </c>
      <c r="D7" s="3"/>
      <c r="E7" s="3"/>
      <c r="F7" s="3"/>
      <c r="G7" s="3">
        <f>SUM(G2:G6)</f>
        <v>10</v>
      </c>
      <c r="H7" s="3">
        <f>SUM(H2:H6)</f>
        <v>10</v>
      </c>
      <c r="I7" s="1"/>
      <c r="J7" s="1"/>
      <c r="K7" s="1"/>
    </row>
    <row r="8" spans="1:11">
      <c r="A8" s="1" t="s">
        <v>12</v>
      </c>
      <c r="B8" s="1">
        <f>AVERAGE(B2:B6)</f>
        <v>4</v>
      </c>
      <c r="C8" s="1">
        <f>AVERAGE(C2:C6)</f>
        <v>6</v>
      </c>
      <c r="D8" s="1"/>
      <c r="E8" s="1"/>
      <c r="F8" s="1"/>
      <c r="G8" s="1"/>
      <c r="H8" s="1"/>
      <c r="I8" s="1"/>
      <c r="J8" s="1"/>
      <c r="K8" s="1"/>
    </row>
    <row r="9" spans="1:11">
      <c r="A9" s="1" t="s">
        <v>13</v>
      </c>
      <c r="B9" s="1">
        <f>G7/H7</f>
        <v>1</v>
      </c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 t="s">
        <v>14</v>
      </c>
      <c r="B10" s="1">
        <f>C8-B9*B8</f>
        <v>2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 t="s">
        <v>15</v>
      </c>
      <c r="B11" s="1" t="s">
        <v>16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 t="s">
        <v>17</v>
      </c>
      <c r="B12" s="1">
        <f>SUM(K2:K6)</f>
        <v>0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 t="s">
        <v>18</v>
      </c>
      <c r="B13" s="1">
        <f>SUM(F2:F6)</f>
        <v>10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 t="s">
        <v>19</v>
      </c>
      <c r="B14" s="1">
        <f>1-B12/B13</f>
        <v>1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 t="s">
        <v>20</v>
      </c>
      <c r="B15" s="1">
        <f>B12/COUNT(B2:B6)</f>
        <v>0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 t="s">
        <v>22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 t="s">
        <v>17</v>
      </c>
      <c r="B17" s="1">
        <f>SUM(K2:K11)</f>
        <v>0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 t="s">
        <v>18</v>
      </c>
      <c r="B18" s="1">
        <f>SUM(F2:F11)</f>
        <v>10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19</v>
      </c>
      <c r="B19" s="1">
        <f>1-B17/B18</f>
        <v>1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20</v>
      </c>
      <c r="B20" s="1">
        <f>B17/COUNT(B2:B11)</f>
        <v>0</v>
      </c>
      <c r="C20" s="1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375C-8A67-4D25-8688-4ED1565F4ADF}">
  <dimension ref="A1:K58"/>
  <sheetViews>
    <sheetView tabSelected="1" workbookViewId="0">
      <selection activeCell="E15" sqref="E15"/>
    </sheetView>
  </sheetViews>
  <sheetFormatPr defaultRowHeight="14.4"/>
  <cols>
    <col min="1" max="1" width="11.44140625" customWidth="1"/>
    <col min="4" max="4" width="12.6640625" customWidth="1"/>
    <col min="5" max="5" width="12.5546875" customWidth="1"/>
    <col min="6" max="6" width="14.21875" customWidth="1"/>
    <col min="7" max="7" width="25.77734375" customWidth="1"/>
    <col min="8" max="8" width="14.6640625" customWidth="1"/>
    <col min="9" max="9" width="13.6640625" customWidth="1"/>
    <col min="10" max="10" width="13" customWidth="1"/>
    <col min="11" max="11" width="13.21875" customWidth="1"/>
  </cols>
  <sheetData>
    <row r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2" t="s">
        <v>10</v>
      </c>
    </row>
    <row r="2" spans="1:11">
      <c r="A2" s="10">
        <v>1</v>
      </c>
      <c r="B2" s="10">
        <v>8</v>
      </c>
      <c r="C2" s="10">
        <v>8</v>
      </c>
      <c r="D2" s="10">
        <f>B2-$B$13</f>
        <v>-6.6</v>
      </c>
      <c r="E2" s="10">
        <f>C2-$C$13</f>
        <v>-4.5</v>
      </c>
      <c r="F2" s="10">
        <f>E2^2</f>
        <v>20.25</v>
      </c>
      <c r="G2" s="10">
        <f>D2*E2</f>
        <v>29.7</v>
      </c>
      <c r="H2" s="10">
        <f>D2^2</f>
        <v>43.559999999999995</v>
      </c>
      <c r="I2" s="10">
        <f>$B$15+$B$14*B2</f>
        <v>8.9055118110236222</v>
      </c>
      <c r="J2" s="10">
        <f>C2-I2</f>
        <v>-0.90551181102362222</v>
      </c>
      <c r="K2" s="2">
        <f>J2^2</f>
        <v>0.81995163990328013</v>
      </c>
    </row>
    <row r="3" spans="1:11">
      <c r="A3" s="10">
        <v>2</v>
      </c>
      <c r="B3" s="10">
        <v>10</v>
      </c>
      <c r="C3" s="10">
        <v>11</v>
      </c>
      <c r="D3" s="10">
        <f>B3-$B$13</f>
        <v>-4.5999999999999996</v>
      </c>
      <c r="E3" s="10">
        <f>C3-$C$13</f>
        <v>-1.5</v>
      </c>
      <c r="F3" s="10">
        <f>E3^2</f>
        <v>2.25</v>
      </c>
      <c r="G3" s="10">
        <f>D3*E3</f>
        <v>6.8999999999999995</v>
      </c>
      <c r="H3" s="10">
        <f>D3^2</f>
        <v>21.159999999999997</v>
      </c>
      <c r="I3" s="10">
        <f>$B$15+$B$14*B3</f>
        <v>9.9947506561679802</v>
      </c>
      <c r="J3" s="10">
        <f>C3-I3</f>
        <v>1.0052493438320198</v>
      </c>
      <c r="K3" s="2">
        <f>J3^2</f>
        <v>1.0105262432747064</v>
      </c>
    </row>
    <row r="4" spans="1:11">
      <c r="A4" s="10">
        <v>3</v>
      </c>
      <c r="B4" s="10">
        <v>12</v>
      </c>
      <c r="C4" s="10">
        <v>11</v>
      </c>
      <c r="D4" s="10">
        <f>B4-$B$13</f>
        <v>-2.5999999999999996</v>
      </c>
      <c r="E4" s="10">
        <f>C4-$C$13</f>
        <v>-1.5</v>
      </c>
      <c r="F4" s="10">
        <f>E4^2</f>
        <v>2.25</v>
      </c>
      <c r="G4" s="10">
        <f>D4*E4</f>
        <v>3.8999999999999995</v>
      </c>
      <c r="H4" s="10">
        <f>D4^2</f>
        <v>6.759999999999998</v>
      </c>
      <c r="I4" s="10">
        <f>$B$15+$B$14*B4</f>
        <v>11.083989501312335</v>
      </c>
      <c r="J4" s="10">
        <f>C4-I4</f>
        <v>-8.3989501312334625E-2</v>
      </c>
      <c r="K4" s="2">
        <f>J4^2</f>
        <v>7.0542363306946593E-3</v>
      </c>
    </row>
    <row r="5" spans="1:11">
      <c r="A5" s="10">
        <v>4</v>
      </c>
      <c r="B5" s="10">
        <v>12</v>
      </c>
      <c r="C5" s="10">
        <v>10</v>
      </c>
      <c r="D5" s="10">
        <f>B5-$B$13</f>
        <v>-2.5999999999999996</v>
      </c>
      <c r="E5" s="10">
        <f>C5-$C$13</f>
        <v>-2.5</v>
      </c>
      <c r="F5" s="10">
        <f>E5^2</f>
        <v>6.25</v>
      </c>
      <c r="G5" s="10">
        <f>D5*E5</f>
        <v>6.4999999999999991</v>
      </c>
      <c r="H5" s="10">
        <f>D5^2</f>
        <v>6.759999999999998</v>
      </c>
      <c r="I5" s="10">
        <f>$B$15+$B$14*B5</f>
        <v>11.083989501312335</v>
      </c>
      <c r="J5" s="10">
        <f>C5-I5</f>
        <v>-1.0839895013123346</v>
      </c>
      <c r="K5" s="10">
        <f>J5^2</f>
        <v>1.1750332389553639</v>
      </c>
    </row>
    <row r="6" spans="1:11">
      <c r="A6" s="10">
        <v>5</v>
      </c>
      <c r="B6" s="10">
        <v>14</v>
      </c>
      <c r="C6" s="10">
        <v>14</v>
      </c>
      <c r="D6" s="10">
        <f>B6-$B$13</f>
        <v>-0.59999999999999964</v>
      </c>
      <c r="E6" s="10">
        <f>C6-$C$13</f>
        <v>1.5</v>
      </c>
      <c r="F6" s="10">
        <f>E6^2</f>
        <v>2.25</v>
      </c>
      <c r="G6" s="10">
        <f>D6*E6</f>
        <v>-0.89999999999999947</v>
      </c>
      <c r="H6" s="10">
        <f>D6^2</f>
        <v>0.3599999999999996</v>
      </c>
      <c r="I6" s="10">
        <f>$B$15+$B$14*B6</f>
        <v>12.173228346456693</v>
      </c>
      <c r="J6" s="10">
        <f>C6-I6</f>
        <v>1.8267716535433074</v>
      </c>
      <c r="K6" s="10">
        <f>J6^2</f>
        <v>3.3370946741893497</v>
      </c>
    </row>
    <row r="7" spans="1:11">
      <c r="A7" s="10">
        <v>6</v>
      </c>
      <c r="B7" s="10">
        <v>16</v>
      </c>
      <c r="C7" s="10">
        <v>15</v>
      </c>
      <c r="D7" s="10">
        <f>B7-$B$13</f>
        <v>1.4000000000000004</v>
      </c>
      <c r="E7" s="10">
        <f>C7-$C$13</f>
        <v>2.5</v>
      </c>
      <c r="F7" s="10">
        <f>E7^2</f>
        <v>6.25</v>
      </c>
      <c r="G7" s="10">
        <f>D7*E7</f>
        <v>3.5000000000000009</v>
      </c>
      <c r="H7" s="10">
        <f>D7^2</f>
        <v>1.9600000000000011</v>
      </c>
      <c r="I7" s="10">
        <f>$B$15+$B$14*B7</f>
        <v>13.262467191601051</v>
      </c>
      <c r="J7" s="10">
        <f>C7-I7</f>
        <v>1.7375328083989494</v>
      </c>
      <c r="K7" s="10">
        <f>J7^2</f>
        <v>3.0190202602627401</v>
      </c>
    </row>
    <row r="8" spans="1:11">
      <c r="A8" s="10">
        <v>7</v>
      </c>
      <c r="B8" s="10">
        <v>16</v>
      </c>
      <c r="C8" s="10">
        <v>11</v>
      </c>
      <c r="D8" s="10">
        <f>B8-$B$13</f>
        <v>1.4000000000000004</v>
      </c>
      <c r="E8" s="10">
        <f>C8-$C$13</f>
        <v>-1.5</v>
      </c>
      <c r="F8" s="10">
        <f>E8^2</f>
        <v>2.25</v>
      </c>
      <c r="G8" s="10">
        <f>D8*E8</f>
        <v>-2.1000000000000005</v>
      </c>
      <c r="H8" s="10">
        <f>D8^2</f>
        <v>1.9600000000000011</v>
      </c>
      <c r="I8" s="10">
        <f>$B$15+$B$14*B8</f>
        <v>13.262467191601051</v>
      </c>
      <c r="J8" s="10">
        <f>C8-I8</f>
        <v>-2.2624671916010506</v>
      </c>
      <c r="K8" s="10">
        <f>J8^2</f>
        <v>5.1187577930711452</v>
      </c>
    </row>
    <row r="9" spans="1:11">
      <c r="A9" s="10">
        <v>8</v>
      </c>
      <c r="B9" s="10">
        <v>18</v>
      </c>
      <c r="C9" s="10">
        <v>15</v>
      </c>
      <c r="D9" s="10">
        <f>B9-$B$13</f>
        <v>3.4000000000000004</v>
      </c>
      <c r="E9" s="10">
        <f>C9-$C$13</f>
        <v>2.5</v>
      </c>
      <c r="F9" s="10">
        <f>E9^2</f>
        <v>6.25</v>
      </c>
      <c r="G9" s="10">
        <f>D9*E9</f>
        <v>8.5</v>
      </c>
      <c r="H9" s="10">
        <f>D9^2</f>
        <v>11.560000000000002</v>
      </c>
      <c r="I9" s="10">
        <f>$B$15+$B$14*B9</f>
        <v>14.351706036745405</v>
      </c>
      <c r="J9" s="10">
        <f>C9-I9</f>
        <v>0.64829396325459498</v>
      </c>
      <c r="K9" s="10">
        <f>J9^2</f>
        <v>0.42028506279235017</v>
      </c>
    </row>
    <row r="10" spans="1:11">
      <c r="A10" s="10">
        <v>9</v>
      </c>
      <c r="B10" s="10">
        <v>20</v>
      </c>
      <c r="C10" s="10">
        <v>14</v>
      </c>
      <c r="D10" s="10">
        <f>B10-$B$13</f>
        <v>5.4</v>
      </c>
      <c r="E10" s="10">
        <f>C10-$C$13</f>
        <v>1.5</v>
      </c>
      <c r="F10" s="10">
        <f>E10^2</f>
        <v>2.25</v>
      </c>
      <c r="G10" s="10">
        <f>D10*E10</f>
        <v>8.1000000000000014</v>
      </c>
      <c r="H10" s="10">
        <f>D10^2</f>
        <v>29.160000000000004</v>
      </c>
      <c r="I10" s="10">
        <f>$B$15+$B$14*B10</f>
        <v>15.440944881889763</v>
      </c>
      <c r="J10" s="10">
        <f>C10-I10</f>
        <v>-1.440944881889763</v>
      </c>
      <c r="K10" s="10">
        <f>J10^2</f>
        <v>2.0763221526443032</v>
      </c>
    </row>
    <row r="11" spans="1:11">
      <c r="A11" s="10">
        <v>10</v>
      </c>
      <c r="B11" s="10">
        <v>20</v>
      </c>
      <c r="C11" s="10">
        <v>16</v>
      </c>
      <c r="D11" s="10">
        <f>B11-$B$13</f>
        <v>5.4</v>
      </c>
      <c r="E11" s="10">
        <f>C11-$C$13</f>
        <v>3.5</v>
      </c>
      <c r="F11" s="10">
        <f>E11^2</f>
        <v>12.25</v>
      </c>
      <c r="G11" s="10">
        <f>D11*E11</f>
        <v>18.900000000000002</v>
      </c>
      <c r="H11" s="10">
        <f>D11^2</f>
        <v>29.160000000000004</v>
      </c>
      <c r="I11" s="10">
        <f>$B$15+$B$14*B11</f>
        <v>15.440944881889763</v>
      </c>
      <c r="J11" s="10">
        <f>C11-I11</f>
        <v>0.559055118110237</v>
      </c>
      <c r="K11" s="10">
        <f>J11^2</f>
        <v>0.31254262508525105</v>
      </c>
    </row>
    <row r="12" spans="1:11">
      <c r="A12" s="11" t="s">
        <v>11</v>
      </c>
      <c r="B12" s="12">
        <f>SUM(B2:B11)</f>
        <v>146</v>
      </c>
      <c r="C12" s="12">
        <f>SUM(C2:C11)</f>
        <v>125</v>
      </c>
      <c r="D12" s="12"/>
      <c r="E12" s="12"/>
      <c r="F12" s="12"/>
      <c r="G12" s="12">
        <f>SUM(G2:G11)</f>
        <v>83</v>
      </c>
      <c r="H12" s="12">
        <f>SUM(H2:H11)</f>
        <v>152.4</v>
      </c>
      <c r="I12" s="12"/>
      <c r="J12" s="12"/>
      <c r="K12" s="12"/>
    </row>
    <row r="13" spans="1:11">
      <c r="A13" s="12" t="s">
        <v>12</v>
      </c>
      <c r="B13" s="12">
        <f>AVERAGE(B2:B11)</f>
        <v>14.6</v>
      </c>
      <c r="C13" s="12">
        <f>AVERAGE(C2:C11)</f>
        <v>12.5</v>
      </c>
      <c r="D13" s="12"/>
      <c r="E13" s="12"/>
      <c r="F13" s="12"/>
      <c r="G13" s="12"/>
      <c r="H13" s="12"/>
      <c r="I13" s="12"/>
      <c r="J13" s="12"/>
      <c r="K13" s="1"/>
    </row>
    <row r="14" spans="1:11">
      <c r="A14" s="12" t="s">
        <v>13</v>
      </c>
      <c r="B14" s="12">
        <f>G12/H12</f>
        <v>0.54461942257217844</v>
      </c>
      <c r="C14" s="12"/>
      <c r="D14" s="12"/>
      <c r="E14" s="12"/>
      <c r="F14" s="12"/>
      <c r="G14" s="12"/>
      <c r="H14" s="12"/>
      <c r="I14" s="12"/>
      <c r="J14" s="12"/>
      <c r="K14" s="1"/>
    </row>
    <row r="15" spans="1:11">
      <c r="A15" s="12" t="s">
        <v>14</v>
      </c>
      <c r="B15" s="12">
        <f>C13-B14*B13</f>
        <v>4.5485564304461947</v>
      </c>
      <c r="C15" s="12"/>
      <c r="D15" s="12"/>
      <c r="E15" s="12"/>
      <c r="F15" s="12"/>
      <c r="G15" s="12"/>
      <c r="H15" s="12"/>
      <c r="I15" s="12"/>
      <c r="J15" s="12"/>
      <c r="K15" s="1"/>
    </row>
    <row r="16" spans="1:11" ht="28.8">
      <c r="A16" s="12" t="s">
        <v>15</v>
      </c>
      <c r="B16" s="12" t="s">
        <v>16</v>
      </c>
      <c r="C16" s="12"/>
      <c r="D16" s="12"/>
      <c r="E16" s="12"/>
      <c r="F16" s="12"/>
      <c r="G16" s="12"/>
      <c r="H16" s="12"/>
      <c r="I16" s="12"/>
      <c r="J16" s="12"/>
      <c r="K16" s="1"/>
    </row>
    <row r="17" spans="1:11">
      <c r="A17" s="12" t="s">
        <v>17</v>
      </c>
      <c r="B17" s="12">
        <f>SUM(K2:K11)</f>
        <v>17.296587926509183</v>
      </c>
      <c r="C17" s="12"/>
      <c r="D17" s="12"/>
      <c r="E17" s="12"/>
      <c r="F17" s="12"/>
      <c r="G17" s="12"/>
      <c r="H17" s="12"/>
      <c r="I17" s="12"/>
      <c r="J17" s="12"/>
      <c r="K17" s="1"/>
    </row>
    <row r="18" spans="1:11">
      <c r="A18" s="12" t="s">
        <v>18</v>
      </c>
      <c r="B18" s="12">
        <f>SUM(F2:F11)</f>
        <v>62.5</v>
      </c>
      <c r="C18" s="12"/>
      <c r="D18" s="12"/>
      <c r="E18" s="12"/>
      <c r="F18" s="12"/>
      <c r="G18" s="12"/>
      <c r="H18" s="12"/>
      <c r="I18" s="12"/>
      <c r="J18" s="12"/>
      <c r="K18" s="1"/>
    </row>
    <row r="19" spans="1:11">
      <c r="A19" s="12" t="s">
        <v>19</v>
      </c>
      <c r="B19" s="12">
        <f>1-B17/B18</f>
        <v>0.72325459317585306</v>
      </c>
      <c r="C19" s="12"/>
      <c r="D19" s="12"/>
      <c r="E19" s="12"/>
      <c r="F19" s="12"/>
      <c r="G19" s="12"/>
      <c r="H19" s="12"/>
      <c r="I19" s="12"/>
      <c r="J19" s="12"/>
      <c r="K19" s="1"/>
    </row>
    <row r="20" spans="1:11">
      <c r="A20" s="12" t="s">
        <v>20</v>
      </c>
      <c r="B20" s="12">
        <f>B17/COUNT(B2:B11)</f>
        <v>1.7296587926509184</v>
      </c>
      <c r="C20" s="12"/>
      <c r="D20" s="12"/>
      <c r="E20" s="12"/>
      <c r="F20" s="12"/>
      <c r="G20" s="12"/>
      <c r="H20" s="12"/>
      <c r="I20" s="12"/>
      <c r="J20" s="12"/>
      <c r="K20" s="1"/>
    </row>
    <row r="2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1" ht="28.8">
      <c r="A23" s="13" t="s">
        <v>23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1" ht="15" thickBo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1">
      <c r="A25" s="14" t="s">
        <v>24</v>
      </c>
      <c r="B25" s="15"/>
      <c r="C25" s="13"/>
      <c r="D25" s="13"/>
      <c r="E25" s="13"/>
      <c r="F25" s="13"/>
      <c r="G25" s="13"/>
      <c r="H25" s="13"/>
      <c r="I25" s="13"/>
      <c r="J25" s="13"/>
    </row>
    <row r="26" spans="1:11">
      <c r="A26" s="16" t="s">
        <v>25</v>
      </c>
      <c r="B26" s="17">
        <v>0.85044376250040965</v>
      </c>
      <c r="C26" s="13"/>
      <c r="D26" s="13"/>
      <c r="E26" s="13"/>
      <c r="F26" s="13"/>
      <c r="G26" s="13"/>
      <c r="H26" s="13"/>
      <c r="I26" s="13"/>
      <c r="J26" s="13"/>
    </row>
    <row r="27" spans="1:11">
      <c r="A27" s="16" t="s">
        <v>26</v>
      </c>
      <c r="B27" s="17">
        <v>0.72325459317585317</v>
      </c>
      <c r="C27" s="13"/>
      <c r="D27" s="13"/>
      <c r="E27" s="13"/>
      <c r="F27" s="13"/>
      <c r="G27" s="13"/>
      <c r="H27" s="13"/>
      <c r="I27" s="13"/>
      <c r="J27" s="13"/>
    </row>
    <row r="28" spans="1:11" ht="28.8">
      <c r="A28" s="16" t="s">
        <v>27</v>
      </c>
      <c r="B28" s="17">
        <v>0.68866141732283481</v>
      </c>
      <c r="C28" s="13"/>
      <c r="D28" s="13"/>
      <c r="E28" s="13"/>
      <c r="F28" s="13"/>
      <c r="G28" s="13"/>
      <c r="H28" s="13"/>
      <c r="I28" s="13"/>
      <c r="J28" s="13"/>
    </row>
    <row r="29" spans="1:11" ht="28.8">
      <c r="A29" s="16" t="s">
        <v>28</v>
      </c>
      <c r="B29" s="17">
        <v>1.4703990923601822</v>
      </c>
      <c r="C29" s="13"/>
      <c r="D29" s="13"/>
      <c r="E29" s="13"/>
      <c r="F29" s="13"/>
      <c r="G29" s="13"/>
      <c r="H29" s="13"/>
      <c r="I29" s="13"/>
      <c r="J29" s="13"/>
    </row>
    <row r="30" spans="1:11" ht="29.4" thickBot="1">
      <c r="A30" s="18" t="s">
        <v>29</v>
      </c>
      <c r="B30" s="19">
        <v>10</v>
      </c>
      <c r="C30" s="13"/>
      <c r="D30" s="13"/>
      <c r="E30" s="13"/>
      <c r="F30" s="13"/>
      <c r="G30" s="13"/>
      <c r="H30" s="13"/>
      <c r="I30" s="13"/>
      <c r="J30" s="13"/>
    </row>
    <row r="31" spans="1:1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1" ht="15" thickBot="1">
      <c r="A32" s="13" t="s">
        <v>30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>
      <c r="A33" s="20"/>
      <c r="B33" s="21" t="s">
        <v>35</v>
      </c>
      <c r="C33" s="21" t="s">
        <v>36</v>
      </c>
      <c r="D33" s="21" t="s">
        <v>37</v>
      </c>
      <c r="E33" s="21" t="s">
        <v>38</v>
      </c>
      <c r="F33" s="22" t="s">
        <v>39</v>
      </c>
      <c r="G33" s="13"/>
      <c r="H33" s="13"/>
      <c r="I33" s="13"/>
      <c r="J33" s="13"/>
    </row>
    <row r="34" spans="1:10">
      <c r="A34" s="16" t="s">
        <v>31</v>
      </c>
      <c r="B34" s="23">
        <v>1</v>
      </c>
      <c r="C34" s="23">
        <v>45.203412073490824</v>
      </c>
      <c r="D34" s="23">
        <v>45.203412073490824</v>
      </c>
      <c r="E34" s="23">
        <v>20.907435508345991</v>
      </c>
      <c r="F34" s="17">
        <v>1.8198956154753417E-3</v>
      </c>
      <c r="G34" s="13"/>
      <c r="H34" s="13"/>
      <c r="I34" s="13"/>
      <c r="J34" s="13"/>
    </row>
    <row r="35" spans="1:10">
      <c r="A35" s="16" t="s">
        <v>32</v>
      </c>
      <c r="B35" s="23">
        <v>8</v>
      </c>
      <c r="C35" s="23">
        <v>17.296587926509179</v>
      </c>
      <c r="D35" s="23">
        <v>2.1620734908136474</v>
      </c>
      <c r="E35" s="23"/>
      <c r="F35" s="17"/>
      <c r="G35" s="13"/>
      <c r="H35" s="13"/>
      <c r="I35" s="13"/>
      <c r="J35" s="13"/>
    </row>
    <row r="36" spans="1:10" ht="15" thickBot="1">
      <c r="A36" s="18" t="s">
        <v>33</v>
      </c>
      <c r="B36" s="24">
        <v>9</v>
      </c>
      <c r="C36" s="24">
        <v>62.5</v>
      </c>
      <c r="D36" s="24"/>
      <c r="E36" s="24"/>
      <c r="F36" s="19"/>
      <c r="G36" s="13"/>
      <c r="H36" s="13"/>
      <c r="I36" s="13"/>
      <c r="J36" s="13"/>
    </row>
    <row r="37" spans="1:10" ht="15" thickBo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ht="28.8">
      <c r="A38" s="20"/>
      <c r="B38" s="21" t="s">
        <v>40</v>
      </c>
      <c r="C38" s="21" t="s">
        <v>28</v>
      </c>
      <c r="D38" s="21" t="s">
        <v>41</v>
      </c>
      <c r="E38" s="21" t="s">
        <v>42</v>
      </c>
      <c r="F38" s="21" t="s">
        <v>43</v>
      </c>
      <c r="G38" s="21" t="s">
        <v>44</v>
      </c>
      <c r="H38" s="21" t="s">
        <v>45</v>
      </c>
      <c r="I38" s="22" t="s">
        <v>46</v>
      </c>
      <c r="J38" s="13"/>
    </row>
    <row r="39" spans="1:10">
      <c r="A39" s="16" t="s">
        <v>34</v>
      </c>
      <c r="B39" s="23">
        <v>4.5485564304461947</v>
      </c>
      <c r="C39" s="23">
        <v>1.8000757954693531</v>
      </c>
      <c r="D39" s="23">
        <v>2.526869391774806</v>
      </c>
      <c r="E39" s="23">
        <v>3.542772676682393E-2</v>
      </c>
      <c r="F39" s="23">
        <v>0.39757420241293584</v>
      </c>
      <c r="G39" s="23">
        <v>8.6995386584794545</v>
      </c>
      <c r="H39" s="23">
        <v>0.39757420241293584</v>
      </c>
      <c r="I39" s="17">
        <v>8.6995386584794545</v>
      </c>
      <c r="J39" s="13"/>
    </row>
    <row r="40" spans="1:10" ht="15" thickBot="1">
      <c r="A40" s="18" t="s">
        <v>47</v>
      </c>
      <c r="B40" s="24">
        <v>0.54461942257217844</v>
      </c>
      <c r="C40" s="24">
        <v>0.11910849646109804</v>
      </c>
      <c r="D40" s="24">
        <v>4.5724649269672906</v>
      </c>
      <c r="E40" s="24">
        <v>1.8198956154753417E-3</v>
      </c>
      <c r="F40" s="24">
        <v>0.26995473719493546</v>
      </c>
      <c r="G40" s="24">
        <v>0.81928410794942141</v>
      </c>
      <c r="H40" s="24">
        <v>0.26995473719493546</v>
      </c>
      <c r="I40" s="19">
        <v>0.81928410794942141</v>
      </c>
      <c r="J40" s="13"/>
    </row>
    <row r="41" spans="1:10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>
      <c r="A58" s="13"/>
      <c r="B58" s="13"/>
      <c r="C58" s="13"/>
      <c r="D58" s="13"/>
      <c r="E58" s="13"/>
      <c r="F58" s="13"/>
      <c r="G58" s="13"/>
      <c r="H58" s="13"/>
      <c r="I58" s="13"/>
      <c r="J58" s="1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2026-01-17T10:06:25Z</dcterms:created>
  <dcterms:modified xsi:type="dcterms:W3CDTF">2026-01-17T10:21:19Z</dcterms:modified>
</cp:coreProperties>
</file>