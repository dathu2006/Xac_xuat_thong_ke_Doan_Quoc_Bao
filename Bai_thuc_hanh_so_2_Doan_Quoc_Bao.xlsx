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<sst xmlns="http://schemas.openxmlformats.org/spreadsheetml/2006/main" count="10" uniqueCount="9">
  <si>
    <t>Bài 1:</t>
  </si>
  <si>
    <t>Bài 2:</t>
  </si>
  <si>
    <t>Bài 3:</t>
  </si>
  <si>
    <t>Bài 4:</t>
  </si>
  <si>
    <t>Bài 5:</t>
  </si>
  <si>
    <t>Bài 6:</t>
  </si>
  <si>
    <t>Bài 7;</t>
  </si>
  <si>
    <t>Bài 8:</t>
  </si>
  <si>
    <t>Ấn lại phần NAME để ra kết quả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</si>
</sst>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0"/>
      <color theme="1"/>
      <name val="Courier Ne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tabSelected="1" workbookViewId="0">
      <selection activeCell="D21" sqref="D21"/>
    </sheetView>
  </sheetViews>
  <sheetFormatPr defaultColWidth="8.88888888888889" defaultRowHeight="14.4" outlineLevelCol="5"/>
  <cols>
    <col min="2" max="2" width="14.3333333333333"/>
    <col min="4" max="4" width="12.8888888888889"/>
  </cols>
  <sheetData>
    <row r="1" spans="1:1">
      <c r="A1" t="s">
        <v>0</v>
      </c>
    </row>
    <row r="2" spans="1:2">
      <c r="A2">
        <v>1.1</v>
      </c>
      <c r="B2" s="1">
        <f>_xlfn.BINOM.DIST(8,12,0.7,FALSE)</f>
        <v>0.231139696095</v>
      </c>
    </row>
    <row r="3" spans="1:2">
      <c r="A3">
        <v>1.2</v>
      </c>
      <c r="B3">
        <f>_xlfn.BINOM.DIST(9,12,0.7,TRUE)</f>
        <v>0.747184652145</v>
      </c>
    </row>
    <row r="4" spans="1:1">
      <c r="A4" t="s">
        <v>1</v>
      </c>
    </row>
    <row r="5" spans="1:6">
      <c r="A5">
        <v>2.1</v>
      </c>
      <c r="B5">
        <f>POISSON(3,2.5,FALSE)</f>
        <v>0.213763017249737</v>
      </c>
      <c r="F5" s="1"/>
    </row>
    <row r="6" spans="1:2">
      <c r="A6">
        <v>2.2</v>
      </c>
      <c r="B6">
        <f>POISSON(2,2.5,TRUE)</f>
        <v>0.54381311588333</v>
      </c>
    </row>
    <row r="7" spans="1:1">
      <c r="A7" t="s">
        <v>2</v>
      </c>
    </row>
    <row r="8" spans="1:2">
      <c r="A8">
        <v>3.1</v>
      </c>
      <c r="B8" s="1">
        <f>_xlfn.NORM.DIST(1300,1200,100,TRUE)</f>
        <v>0.841344746068543</v>
      </c>
    </row>
    <row r="9" spans="1:2">
      <c r="A9">
        <v>3.2</v>
      </c>
      <c r="B9" s="1">
        <f>_xlfn.NORM.DIST(1250,1200,100,TRUE)-_xlfn.NORM.DIST(1100,1200,100,TRUE)</f>
        <v>0.532807207342556</v>
      </c>
    </row>
    <row r="10" spans="1:1">
      <c r="A10" t="s">
        <v>3</v>
      </c>
    </row>
    <row r="11" spans="1:2">
      <c r="A11">
        <v>4.1</v>
      </c>
      <c r="B11" s="1">
        <f>_xlfn.NORM.S.DIST(1.4,TRUE)</f>
        <v>0.919243340766229</v>
      </c>
    </row>
    <row r="12" spans="1:2">
      <c r="A12">
        <v>4.2</v>
      </c>
      <c r="B12" s="1">
        <f>_xlfn.NORM.S.INV(0.975)</f>
        <v>1.95996398454005</v>
      </c>
    </row>
    <row r="13" spans="1:1">
      <c r="A13" t="s">
        <v>4</v>
      </c>
    </row>
    <row r="14" spans="1:2">
      <c r="A14">
        <v>5.1</v>
      </c>
      <c r="B14">
        <f>TDIST(2.12,15,TRUE)</f>
        <v>0.0255465041847485</v>
      </c>
    </row>
    <row r="15" spans="1:2">
      <c r="A15">
        <v>5.2</v>
      </c>
      <c r="B15">
        <f>TINV(0.95,16)</f>
        <v>0.0636976370915321</v>
      </c>
    </row>
    <row r="16" spans="1:1">
      <c r="A16" t="s">
        <v>5</v>
      </c>
    </row>
    <row r="17" spans="1:2">
      <c r="A17">
        <v>6.1</v>
      </c>
      <c r="B17">
        <f>(6-4)/(14-4)</f>
        <v>0.2</v>
      </c>
    </row>
    <row r="18" spans="1:2">
      <c r="A18">
        <v>6.2</v>
      </c>
      <c r="B18">
        <f>(12-8)/(14-4)</f>
        <v>0.4</v>
      </c>
    </row>
    <row r="19" spans="1:1">
      <c r="A19" t="s">
        <v>6</v>
      </c>
    </row>
    <row r="20" spans="1:2">
      <c r="A20">
        <v>7.1</v>
      </c>
      <c r="B20">
        <f>_xlfn.CHISQ.DIST(10.64,6,TRUE)</f>
        <v>0.899839459939878</v>
      </c>
    </row>
    <row r="21" spans="1:2">
      <c r="A21">
        <v>7.2</v>
      </c>
      <c r="B21">
        <f>_xlfn.CHISQ.INV(0.95,6)</f>
        <v>12.591587243744</v>
      </c>
    </row>
    <row r="22" spans="1:1">
      <c r="A22" t="s">
        <v>7</v>
      </c>
    </row>
    <row r="23" spans="1:3">
      <c r="A23">
        <v>8.1</v>
      </c>
      <c r="B23" t="e" cm="1">
        <f t="array" ref="B23">F.DIST(3.12,4,9,TRUE)</f>
        <v>#NAME?</v>
      </c>
      <c r="C23" t="s">
        <v>8</v>
      </c>
    </row>
    <row r="24" spans="1:3">
      <c r="A24">
        <v>8.2</v>
      </c>
      <c r="B24" s="1" t="e" cm="1">
        <f t="array" ref="B24">F.INV(0.95,4,9)</f>
        <v>#NAME?</v>
      </c>
      <c r="C24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Bảo Đoàn</cp:lastModifiedBy>
  <dcterms:created xsi:type="dcterms:W3CDTF">2025-12-20T03:48:00Z</dcterms:created>
  <dcterms:modified xsi:type="dcterms:W3CDTF">2025-12-20T04:32:48Z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A6296C0A744A4F5A834898CB5D2D671F_11</vt:lpwstr>
  </property>
  <property fmtid="{D5CDD505-2E9C-101B-9397-08002B2CF9AE}" pid="3" name="KSOProductBuildVer">
    <vt:lpwstr>1033-12.2.0.23196</vt:lpwstr>
  </property>
</Properties>
</file>