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Internet_Data" sheetId="2" r:id="rId1"/>
    <sheet name="BMI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<sst xmlns="http://schemas.openxmlformats.org/spreadsheetml/2006/main" count="28" uniqueCount="28">
  <si>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Thoi_gian_su_dung_Internet (gio/ngay)</t>
  </si>
  <si>
    <t>x_i</t>
  </si>
  <si>
    <t>n_i</t>
  </si>
  <si>
    <t>x_i*n_i</t>
  </si>
  <si>
    <t>x_i^2*n_i</t>
  </si>
  <si>
    <t>x=</t>
  </si>
  <si>
    <t>s^2=</t>
  </si>
  <si>
    <t>s=</t>
  </si>
  <si>
    <t>STT</t>
  </si>
  <si>
    <t>Chiều cao (m)</t>
  </si>
  <si>
    <t>Cân nặng (kg)</t>
  </si>
  <si>
    <t>BMI(bài 1)</t>
  </si>
  <si>
    <t>Phân loại BMI (bài 3)</t>
  </si>
  <si>
    <t>Bài 2</t>
  </si>
  <si>
    <t>Chỉ tiêu</t>
  </si>
  <si>
    <t>Giá trị</t>
  </si>
  <si>
    <t>Trung bình</t>
  </si>
  <si>
    <t>Trung vị</t>
  </si>
  <si>
    <t>Phương sai mẫu</t>
  </si>
  <si>
    <t>Độ lệch chuẩn mẫu</t>
  </si>
  <si>
    <t xml:space="preserve">Bài 4: </t>
  </si>
  <si>
    <t>Nhóm BMI</t>
  </si>
  <si>
    <t>Tần số</t>
  </si>
  <si>
    <t>Tần suất (%)</t>
  </si>
  <si>
    <t>Gầy</t>
  </si>
  <si>
    <t>Bình thường</t>
  </si>
  <si>
    <t>Thừa cân</t>
  </si>
  <si>
    <t>Béo phì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</si>
</sst>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.5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sz val="11.25"/>
      <color rgb="FF081B3A"/>
      <name val="Segoe UI"/>
      <charset val="134"/>
    </font>
    <font>
      <sz val="10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2" fillId="0" borderId="0" xfId="0" applyFont="1"/>
    <xf numFmtId="0" fontId="3" fillId="0" borderId="0" xfId="0" applyFont="1"/>
    <xf numFmtId="10" fontId="2" fillId="0" borderId="1" xfId="0" applyNumberFormat="1" applyFont="1" applyBorder="1"/>
    <xf numFmtId="0" fontId="4" fillId="0" borderId="0" xfId="0" applyFont="1" applyAlignment="1">
      <alignment wrapText="1"/>
    </xf>
    <xf numFmtId="10" fontId="0" fillId="0" borderId="1" xfId="0" applyNumberFormat="1" applyBorder="1"/>
    <xf numFmtId="10" fontId="0" fillId="0" borderId="1" xfId="0" applyNumberFormat="1" applyFont="1" applyFill="1" applyBorder="1" applyAlignment="1" applyProtection="1"/>
    <xf numFmtId="0" fontId="5" fillId="0" borderId="0" xfId="0" applyFont="1"/>
    <xf numFmtId="0" fontId="0" fillId="0" borderId="0" xfId="0" applyNumberFormat="1"/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topLeftCell="A54" workbookViewId="0">
      <selection activeCell="J73" sqref="J73"/>
    </sheetView>
  </sheetViews>
  <sheetFormatPr defaultColWidth="8.83333333333333" defaultRowHeight="14.4" outlineLevelCol="5"/>
  <cols>
    <col min="2" max="2" width="9.44444444444444"/>
    <col min="4" max="4" width="14.3333333333333"/>
  </cols>
  <sheetData>
    <row r="1" spans="1:1">
      <c r="A1" t="s">
        <v>0</v>
      </c>
    </row>
    <row r="2" spans="1:6">
      <c r="A2">
        <v>3.6</v>
      </c>
      <c r="C2" t="s">
        <v>1</v>
      </c>
      <c r="D2" t="s">
        <v>2</v>
      </c>
      <c r="E2" t="s">
        <v>3</v>
      </c>
      <c r="F2" t="s">
        <v>4</v>
      </c>
    </row>
    <row r="3" spans="1:6">
      <c r="A3">
        <v>1.9</v>
      </c>
      <c r="C3" s="12" cm="1">
        <f t="array" ref="C3:C63">_xlfn.UNIQUE(A2:A101)</f>
        <v>3.6</v>
      </c>
      <c r="D3" s="12">
        <f>COUNTIF($A$2:$A$101,C3)</f>
        <v>1</v>
      </c>
      <c r="E3" cm="1">
        <f t="array" ref="E3:E63">_xlfn.ANCHORARRAY(C3)*D3:D63</f>
        <v>3.6</v>
      </c>
      <c r="F3" cm="1">
        <f t="array" ref="F3:F63">_xlfn.ANCHORARRAY(C3)^2*D3:D63</f>
        <v>12.96</v>
      </c>
    </row>
    <row r="4" spans="1:6">
      <c r="A4">
        <v>6.7</v>
      </c>
      <c r="C4">
        <v>1.9</v>
      </c>
      <c r="D4">
        <f>COUNTIF($A$2:$A$101,C4)</f>
        <v>4</v>
      </c>
      <c r="E4">
        <v>7.6</v>
      </c>
      <c r="F4">
        <v>14.44</v>
      </c>
    </row>
    <row r="5" spans="1:6">
      <c r="A5">
        <v>1.2</v>
      </c>
      <c r="C5">
        <v>6.7</v>
      </c>
      <c r="D5" s="12">
        <f t="shared" ref="D5:D36" si="0">COUNTIF($A$2:$A$101,C5)</f>
        <v>1</v>
      </c>
      <c r="E5">
        <v>6.7</v>
      </c>
      <c r="F5">
        <v>44.89</v>
      </c>
    </row>
    <row r="6" spans="1:6">
      <c r="A6">
        <v>5.6</v>
      </c>
      <c r="C6">
        <v>1.2</v>
      </c>
      <c r="D6">
        <f t="shared" si="0"/>
        <v>2</v>
      </c>
      <c r="E6">
        <v>2.4</v>
      </c>
      <c r="F6">
        <v>2.88</v>
      </c>
    </row>
    <row r="7" spans="1:6">
      <c r="A7">
        <v>4</v>
      </c>
      <c r="C7">
        <v>5.6</v>
      </c>
      <c r="D7" s="12">
        <f t="shared" si="0"/>
        <v>1</v>
      </c>
      <c r="E7">
        <v>5.6</v>
      </c>
      <c r="F7">
        <v>31.36</v>
      </c>
    </row>
    <row r="8" spans="1:6">
      <c r="A8">
        <v>1.1</v>
      </c>
      <c r="C8">
        <v>4</v>
      </c>
      <c r="D8">
        <f t="shared" si="0"/>
        <v>2</v>
      </c>
      <c r="E8">
        <v>8</v>
      </c>
      <c r="F8">
        <v>32</v>
      </c>
    </row>
    <row r="9" spans="1:6">
      <c r="A9">
        <v>5.3</v>
      </c>
      <c r="C9">
        <v>1.1</v>
      </c>
      <c r="D9" s="12">
        <f t="shared" si="0"/>
        <v>5</v>
      </c>
      <c r="E9">
        <v>5.5</v>
      </c>
      <c r="F9">
        <v>6.05</v>
      </c>
    </row>
    <row r="10" spans="1:6">
      <c r="A10">
        <v>0.9</v>
      </c>
      <c r="C10">
        <v>5.3</v>
      </c>
      <c r="D10">
        <f t="shared" si="0"/>
        <v>1</v>
      </c>
      <c r="E10">
        <v>5.3</v>
      </c>
      <c r="F10">
        <v>28.09</v>
      </c>
    </row>
    <row r="11" spans="1:6">
      <c r="A11">
        <v>4.6</v>
      </c>
      <c r="C11">
        <v>0.9</v>
      </c>
      <c r="D11" s="12">
        <f t="shared" si="0"/>
        <v>3</v>
      </c>
      <c r="E11">
        <v>2.7</v>
      </c>
      <c r="F11">
        <v>2.43</v>
      </c>
    </row>
    <row r="12" spans="1:6">
      <c r="A12">
        <v>1.2</v>
      </c>
      <c r="C12">
        <v>4.6</v>
      </c>
      <c r="D12">
        <f t="shared" si="0"/>
        <v>2</v>
      </c>
      <c r="E12">
        <v>9.2</v>
      </c>
      <c r="F12">
        <v>42.32</v>
      </c>
    </row>
    <row r="13" spans="1:6">
      <c r="A13">
        <v>1.4</v>
      </c>
      <c r="C13">
        <v>1.4</v>
      </c>
      <c r="D13" s="12">
        <f t="shared" si="0"/>
        <v>1</v>
      </c>
      <c r="E13">
        <v>1.4</v>
      </c>
      <c r="F13">
        <v>1.96</v>
      </c>
    </row>
    <row r="14" spans="1:6">
      <c r="A14">
        <v>4.5</v>
      </c>
      <c r="C14">
        <v>4.5</v>
      </c>
      <c r="D14">
        <f t="shared" si="0"/>
        <v>2</v>
      </c>
      <c r="E14">
        <v>9</v>
      </c>
      <c r="F14">
        <v>40.5</v>
      </c>
    </row>
    <row r="15" spans="1:6">
      <c r="A15">
        <v>8.4</v>
      </c>
      <c r="C15">
        <v>8.4</v>
      </c>
      <c r="D15" s="12">
        <f t="shared" si="0"/>
        <v>1</v>
      </c>
      <c r="E15">
        <v>8.4</v>
      </c>
      <c r="F15">
        <v>70.56</v>
      </c>
    </row>
    <row r="16" spans="1:6">
      <c r="A16">
        <v>1.7</v>
      </c>
      <c r="C16">
        <v>1.7</v>
      </c>
      <c r="D16">
        <f t="shared" si="0"/>
        <v>2</v>
      </c>
      <c r="E16">
        <v>3.4</v>
      </c>
      <c r="F16">
        <v>5.78</v>
      </c>
    </row>
    <row r="17" spans="1:6">
      <c r="A17">
        <v>2.6</v>
      </c>
      <c r="C17">
        <v>2.6</v>
      </c>
      <c r="D17" s="12">
        <f t="shared" si="0"/>
        <v>1</v>
      </c>
      <c r="E17">
        <v>2.6</v>
      </c>
      <c r="F17">
        <v>6.76</v>
      </c>
    </row>
    <row r="18" spans="1:6">
      <c r="A18">
        <v>6.5</v>
      </c>
      <c r="C18">
        <v>6.5</v>
      </c>
      <c r="D18">
        <f t="shared" si="0"/>
        <v>1</v>
      </c>
      <c r="E18">
        <v>6.5</v>
      </c>
      <c r="F18">
        <v>42.25</v>
      </c>
    </row>
    <row r="19" spans="1:6">
      <c r="A19">
        <v>9.5</v>
      </c>
      <c r="C19">
        <v>9.5</v>
      </c>
      <c r="D19" s="12">
        <f t="shared" si="0"/>
        <v>2</v>
      </c>
      <c r="E19">
        <v>19</v>
      </c>
      <c r="F19">
        <v>180.5</v>
      </c>
    </row>
    <row r="20" spans="1:6">
      <c r="A20">
        <v>6</v>
      </c>
      <c r="C20">
        <v>6</v>
      </c>
      <c r="D20">
        <f t="shared" si="0"/>
        <v>4</v>
      </c>
      <c r="E20">
        <v>24</v>
      </c>
      <c r="F20">
        <v>144</v>
      </c>
    </row>
    <row r="21" spans="1:6">
      <c r="A21">
        <v>4.3</v>
      </c>
      <c r="C21">
        <v>4.3</v>
      </c>
      <c r="D21" s="12">
        <f t="shared" si="0"/>
        <v>1</v>
      </c>
      <c r="E21">
        <v>4.3</v>
      </c>
      <c r="F21">
        <v>18.49</v>
      </c>
    </row>
    <row r="22" spans="1:6">
      <c r="A22">
        <v>9.8</v>
      </c>
      <c r="C22">
        <v>9.8</v>
      </c>
      <c r="D22">
        <f t="shared" si="0"/>
        <v>2</v>
      </c>
      <c r="E22">
        <v>19.6</v>
      </c>
      <c r="F22">
        <v>192.08</v>
      </c>
    </row>
    <row r="23" spans="1:6">
      <c r="A23">
        <v>0.9</v>
      </c>
      <c r="C23">
        <v>8.7</v>
      </c>
      <c r="D23" s="12">
        <f t="shared" si="0"/>
        <v>2</v>
      </c>
      <c r="E23">
        <v>17.4</v>
      </c>
      <c r="F23">
        <v>151.38</v>
      </c>
    </row>
    <row r="24" spans="1:6">
      <c r="A24">
        <v>8.7</v>
      </c>
      <c r="C24">
        <v>3.3</v>
      </c>
      <c r="D24">
        <f t="shared" si="0"/>
        <v>2</v>
      </c>
      <c r="E24">
        <v>6.6</v>
      </c>
      <c r="F24">
        <v>21.78</v>
      </c>
    </row>
    <row r="25" spans="1:6">
      <c r="A25">
        <v>3.3</v>
      </c>
      <c r="C25">
        <v>1.6</v>
      </c>
      <c r="D25" s="12">
        <f t="shared" si="0"/>
        <v>3</v>
      </c>
      <c r="E25">
        <v>4.8</v>
      </c>
      <c r="F25">
        <v>7.68</v>
      </c>
    </row>
    <row r="26" spans="1:6">
      <c r="A26">
        <v>1.9</v>
      </c>
      <c r="C26">
        <v>3.4</v>
      </c>
      <c r="D26">
        <f t="shared" si="0"/>
        <v>1</v>
      </c>
      <c r="E26">
        <v>3.4</v>
      </c>
      <c r="F26">
        <v>11.56</v>
      </c>
    </row>
    <row r="27" spans="1:6">
      <c r="A27">
        <v>1.6</v>
      </c>
      <c r="C27">
        <v>8.3</v>
      </c>
      <c r="D27" s="12">
        <f t="shared" si="0"/>
        <v>3</v>
      </c>
      <c r="E27">
        <v>24.9</v>
      </c>
      <c r="F27">
        <v>206.67</v>
      </c>
    </row>
    <row r="28" spans="1:6">
      <c r="A28">
        <v>3.4</v>
      </c>
      <c r="C28">
        <v>2.2</v>
      </c>
      <c r="D28">
        <f t="shared" si="0"/>
        <v>1</v>
      </c>
      <c r="E28">
        <v>2.2</v>
      </c>
      <c r="F28">
        <v>4.84</v>
      </c>
    </row>
    <row r="29" spans="1:6">
      <c r="A29">
        <v>8.3</v>
      </c>
      <c r="C29">
        <v>6.6</v>
      </c>
      <c r="D29" s="12">
        <f t="shared" si="0"/>
        <v>2</v>
      </c>
      <c r="E29">
        <v>13.2</v>
      </c>
      <c r="F29">
        <v>87.12</v>
      </c>
    </row>
    <row r="30" spans="1:6">
      <c r="A30">
        <v>2.2</v>
      </c>
      <c r="C30">
        <v>5.7</v>
      </c>
      <c r="D30">
        <f t="shared" si="0"/>
        <v>2</v>
      </c>
      <c r="E30">
        <v>11.4</v>
      </c>
      <c r="F30">
        <v>64.98</v>
      </c>
    </row>
    <row r="31" spans="1:6">
      <c r="A31">
        <v>6</v>
      </c>
      <c r="C31">
        <v>2.5</v>
      </c>
      <c r="D31" s="12">
        <f t="shared" si="0"/>
        <v>1</v>
      </c>
      <c r="E31">
        <v>2.5</v>
      </c>
      <c r="F31">
        <v>6.25</v>
      </c>
    </row>
    <row r="32" spans="1:6">
      <c r="A32">
        <v>6.6</v>
      </c>
      <c r="C32">
        <v>7</v>
      </c>
      <c r="D32">
        <f t="shared" si="0"/>
        <v>1</v>
      </c>
      <c r="E32">
        <v>7</v>
      </c>
      <c r="F32">
        <v>49</v>
      </c>
    </row>
    <row r="33" spans="1:6">
      <c r="A33">
        <v>4</v>
      </c>
      <c r="C33">
        <v>3.5</v>
      </c>
      <c r="D33" s="12">
        <f t="shared" si="0"/>
        <v>2</v>
      </c>
      <c r="E33">
        <v>7</v>
      </c>
      <c r="F33">
        <v>24.5</v>
      </c>
    </row>
    <row r="34" spans="1:6">
      <c r="A34">
        <v>5.7</v>
      </c>
      <c r="C34">
        <v>6.1</v>
      </c>
      <c r="D34">
        <f t="shared" si="0"/>
        <v>2</v>
      </c>
      <c r="E34">
        <v>12.2</v>
      </c>
      <c r="F34">
        <v>74.42</v>
      </c>
    </row>
    <row r="35" spans="1:6">
      <c r="A35">
        <v>1.1</v>
      </c>
      <c r="C35">
        <v>4.8</v>
      </c>
      <c r="D35" s="12">
        <f t="shared" si="0"/>
        <v>3</v>
      </c>
      <c r="E35">
        <v>14.4</v>
      </c>
      <c r="F35">
        <v>69.12</v>
      </c>
    </row>
    <row r="36" spans="1:6">
      <c r="A36">
        <v>1.1</v>
      </c>
      <c r="C36">
        <v>8</v>
      </c>
      <c r="D36">
        <f t="shared" si="0"/>
        <v>1</v>
      </c>
      <c r="E36">
        <v>8</v>
      </c>
      <c r="F36">
        <v>64</v>
      </c>
    </row>
    <row r="37" spans="1:6">
      <c r="A37">
        <v>2.5</v>
      </c>
      <c r="C37">
        <v>7.1</v>
      </c>
      <c r="D37" s="12">
        <f t="shared" ref="D37:D63" si="1">COUNTIF($A$2:$A$101,C37)</f>
        <v>2</v>
      </c>
      <c r="E37">
        <v>14.2</v>
      </c>
      <c r="F37">
        <v>100.82</v>
      </c>
    </row>
    <row r="38" spans="1:6">
      <c r="A38">
        <v>7</v>
      </c>
      <c r="C38">
        <v>2.8</v>
      </c>
      <c r="D38">
        <f t="shared" si="1"/>
        <v>1</v>
      </c>
      <c r="E38">
        <v>2.8</v>
      </c>
      <c r="F38">
        <v>7.84</v>
      </c>
    </row>
    <row r="39" spans="1:6">
      <c r="A39">
        <v>4.6</v>
      </c>
      <c r="C39">
        <v>5.5</v>
      </c>
      <c r="D39" s="12">
        <f t="shared" si="1"/>
        <v>1</v>
      </c>
      <c r="E39">
        <v>5.5</v>
      </c>
      <c r="F39">
        <v>30.25</v>
      </c>
    </row>
    <row r="40" spans="1:6">
      <c r="A40">
        <v>3.5</v>
      </c>
      <c r="C40">
        <v>8.8</v>
      </c>
      <c r="D40">
        <f t="shared" si="1"/>
        <v>3</v>
      </c>
      <c r="E40">
        <v>26.4</v>
      </c>
      <c r="F40">
        <v>232.32</v>
      </c>
    </row>
    <row r="41" spans="1:6">
      <c r="A41">
        <v>6.1</v>
      </c>
      <c r="C41">
        <v>7.4</v>
      </c>
      <c r="D41" s="12">
        <f t="shared" si="1"/>
        <v>1</v>
      </c>
      <c r="E41">
        <v>7.4</v>
      </c>
      <c r="F41">
        <v>54.76</v>
      </c>
    </row>
    <row r="42" spans="1:6">
      <c r="A42">
        <v>4.8</v>
      </c>
      <c r="C42">
        <v>3.2</v>
      </c>
      <c r="D42">
        <f t="shared" si="1"/>
        <v>2</v>
      </c>
      <c r="E42">
        <v>6.4</v>
      </c>
      <c r="F42">
        <v>20.48</v>
      </c>
    </row>
    <row r="43" spans="1:6">
      <c r="A43">
        <v>3.3</v>
      </c>
      <c r="C43">
        <v>7.7</v>
      </c>
      <c r="D43" s="12">
        <f t="shared" si="1"/>
        <v>1</v>
      </c>
      <c r="E43">
        <v>7.7</v>
      </c>
      <c r="F43">
        <v>59.29</v>
      </c>
    </row>
    <row r="44" spans="1:6">
      <c r="A44">
        <v>8</v>
      </c>
      <c r="C44">
        <v>5.1</v>
      </c>
      <c r="D44">
        <f t="shared" si="1"/>
        <v>1</v>
      </c>
      <c r="E44">
        <v>5.1</v>
      </c>
      <c r="F44">
        <v>26.01</v>
      </c>
    </row>
    <row r="45" spans="1:6">
      <c r="A45">
        <v>7.1</v>
      </c>
      <c r="C45">
        <v>6.8</v>
      </c>
      <c r="D45" s="12">
        <f t="shared" si="1"/>
        <v>2</v>
      </c>
      <c r="E45">
        <v>13.6</v>
      </c>
      <c r="F45">
        <v>92.48</v>
      </c>
    </row>
    <row r="46" spans="1:6">
      <c r="A46">
        <v>2.8</v>
      </c>
      <c r="C46">
        <v>7.8</v>
      </c>
      <c r="D46">
        <f t="shared" si="1"/>
        <v>2</v>
      </c>
      <c r="E46">
        <v>15.6</v>
      </c>
      <c r="F46">
        <v>121.68</v>
      </c>
    </row>
    <row r="47" spans="1:6">
      <c r="A47">
        <v>6</v>
      </c>
      <c r="C47">
        <v>5.9</v>
      </c>
      <c r="D47" s="12">
        <f t="shared" si="1"/>
        <v>1</v>
      </c>
      <c r="E47">
        <v>5.9</v>
      </c>
      <c r="F47">
        <v>34.81</v>
      </c>
    </row>
    <row r="48" spans="1:6">
      <c r="A48">
        <v>5.5</v>
      </c>
      <c r="C48">
        <v>8.5</v>
      </c>
      <c r="D48">
        <f t="shared" si="1"/>
        <v>1</v>
      </c>
      <c r="E48">
        <v>8.5</v>
      </c>
      <c r="F48">
        <v>72.25</v>
      </c>
    </row>
    <row r="49" spans="1:6">
      <c r="A49">
        <v>8.8</v>
      </c>
      <c r="C49">
        <v>5</v>
      </c>
      <c r="D49" s="12">
        <f t="shared" si="1"/>
        <v>1</v>
      </c>
      <c r="E49">
        <v>5</v>
      </c>
      <c r="F49">
        <v>25</v>
      </c>
    </row>
    <row r="50" spans="1:6">
      <c r="A50">
        <v>7.4</v>
      </c>
      <c r="C50">
        <v>7.2</v>
      </c>
      <c r="D50">
        <f t="shared" si="1"/>
        <v>1</v>
      </c>
      <c r="E50">
        <v>7.2</v>
      </c>
      <c r="F50">
        <v>51.84</v>
      </c>
    </row>
    <row r="51" spans="1:6">
      <c r="A51">
        <v>3.2</v>
      </c>
      <c r="C51">
        <v>9.9</v>
      </c>
      <c r="D51" s="12">
        <f t="shared" si="1"/>
        <v>1</v>
      </c>
      <c r="E51">
        <v>9.9</v>
      </c>
      <c r="F51">
        <v>98.01</v>
      </c>
    </row>
    <row r="52" spans="1:6">
      <c r="A52">
        <v>9.8</v>
      </c>
      <c r="C52">
        <v>4.2</v>
      </c>
      <c r="D52">
        <f t="shared" si="1"/>
        <v>2</v>
      </c>
      <c r="E52">
        <v>8.4</v>
      </c>
      <c r="F52">
        <v>35.28</v>
      </c>
    </row>
    <row r="53" spans="1:6">
      <c r="A53">
        <v>1.6</v>
      </c>
      <c r="C53">
        <v>6.9</v>
      </c>
      <c r="D53" s="12">
        <f t="shared" si="1"/>
        <v>1</v>
      </c>
      <c r="E53">
        <v>6.9</v>
      </c>
      <c r="F53">
        <v>47.61</v>
      </c>
    </row>
    <row r="54" spans="1:6">
      <c r="A54">
        <v>4.5</v>
      </c>
      <c r="C54">
        <v>0.7</v>
      </c>
      <c r="D54">
        <f t="shared" si="1"/>
        <v>1</v>
      </c>
      <c r="E54">
        <v>0.7</v>
      </c>
      <c r="F54">
        <v>0.49</v>
      </c>
    </row>
    <row r="55" spans="1:6">
      <c r="A55">
        <v>7.7</v>
      </c>
      <c r="C55">
        <v>4.9</v>
      </c>
      <c r="D55" s="12">
        <f t="shared" si="1"/>
        <v>1</v>
      </c>
      <c r="E55">
        <v>4.9</v>
      </c>
      <c r="F55">
        <v>24.01</v>
      </c>
    </row>
    <row r="56" spans="1:6">
      <c r="A56">
        <v>1.9</v>
      </c>
      <c r="C56">
        <v>2.1</v>
      </c>
      <c r="D56">
        <f t="shared" si="1"/>
        <v>1</v>
      </c>
      <c r="E56">
        <v>2.1</v>
      </c>
      <c r="F56">
        <v>4.41</v>
      </c>
    </row>
    <row r="57" spans="1:6">
      <c r="A57">
        <v>5.1</v>
      </c>
      <c r="C57">
        <v>2.9</v>
      </c>
      <c r="D57" s="12">
        <f t="shared" si="1"/>
        <v>1</v>
      </c>
      <c r="E57">
        <v>2.9</v>
      </c>
      <c r="F57">
        <v>8.41</v>
      </c>
    </row>
    <row r="58" spans="1:6">
      <c r="A58">
        <v>0.9</v>
      </c>
      <c r="C58">
        <v>1.3</v>
      </c>
      <c r="D58">
        <f t="shared" si="1"/>
        <v>1</v>
      </c>
      <c r="E58">
        <v>1.3</v>
      </c>
      <c r="F58">
        <v>1.69</v>
      </c>
    </row>
    <row r="59" spans="1:6">
      <c r="A59">
        <v>6.8</v>
      </c>
      <c r="C59">
        <v>8.9</v>
      </c>
      <c r="D59" s="12">
        <f t="shared" si="1"/>
        <v>2</v>
      </c>
      <c r="E59">
        <v>17.8</v>
      </c>
      <c r="F59">
        <v>158.42</v>
      </c>
    </row>
    <row r="60" spans="1:6">
      <c r="A60">
        <v>7.8</v>
      </c>
      <c r="C60">
        <v>3.1</v>
      </c>
      <c r="D60">
        <f t="shared" si="1"/>
        <v>1</v>
      </c>
      <c r="E60">
        <v>3.1</v>
      </c>
      <c r="F60">
        <v>9.61</v>
      </c>
    </row>
    <row r="61" spans="1:6">
      <c r="A61">
        <v>5.9</v>
      </c>
      <c r="C61">
        <v>4.4</v>
      </c>
      <c r="D61" s="12">
        <f t="shared" si="1"/>
        <v>1</v>
      </c>
      <c r="E61">
        <v>4.4</v>
      </c>
      <c r="F61">
        <v>19.36</v>
      </c>
    </row>
    <row r="62" spans="1:6">
      <c r="A62">
        <v>8.8</v>
      </c>
      <c r="C62">
        <v>3.9</v>
      </c>
      <c r="D62">
        <f t="shared" si="1"/>
        <v>1</v>
      </c>
      <c r="E62">
        <v>3.9</v>
      </c>
      <c r="F62">
        <v>15.21</v>
      </c>
    </row>
    <row r="63" spans="1:6">
      <c r="A63">
        <v>3.5</v>
      </c>
      <c r="C63">
        <v>9.6</v>
      </c>
      <c r="D63" s="12">
        <f t="shared" si="1"/>
        <v>1</v>
      </c>
      <c r="E63">
        <v>9.6</v>
      </c>
      <c r="F63">
        <v>92.16</v>
      </c>
    </row>
    <row r="64" spans="1:6">
      <c r="A64">
        <v>7.1</v>
      </c>
      <c r="D64" s="13">
        <f>SUM(D3:D63)</f>
        <v>100</v>
      </c>
      <c r="E64" s="13">
        <f>SUM(E3:E63)</f>
        <v>497</v>
      </c>
      <c r="F64" s="13">
        <f>SUM(F3:F63)</f>
        <v>3208.1</v>
      </c>
    </row>
    <row r="65" spans="1:1">
      <c r="A65">
        <v>6.1</v>
      </c>
    </row>
    <row r="66" spans="1:4">
      <c r="A66">
        <v>6</v>
      </c>
      <c r="C66" s="14" t="s">
        <v>5</v>
      </c>
      <c r="D66">
        <f>AVERAGE(A2:A101)</f>
        <v>4.97</v>
      </c>
    </row>
    <row r="67" spans="1:4">
      <c r="A67">
        <v>4.8</v>
      </c>
      <c r="C67" s="14" t="s">
        <v>6</v>
      </c>
      <c r="D67" s="12">
        <f>_xlfn.VAR.S(A2:A101)</f>
        <v>7.45464646464647</v>
      </c>
    </row>
    <row r="68" spans="1:4">
      <c r="A68">
        <v>8.5</v>
      </c>
      <c r="C68" s="14" t="s">
        <v>7</v>
      </c>
      <c r="D68" s="12">
        <f>_xlfn.STDEV.S(A2:A101)</f>
        <v>2.73031984658327</v>
      </c>
    </row>
    <row r="69" spans="1:1">
      <c r="A69">
        <v>9.5</v>
      </c>
    </row>
    <row r="70" spans="1:1">
      <c r="A70">
        <v>5</v>
      </c>
    </row>
    <row r="71" spans="1:1">
      <c r="A71">
        <v>6.8</v>
      </c>
    </row>
    <row r="72" spans="1:1">
      <c r="A72">
        <v>1.1</v>
      </c>
    </row>
    <row r="73" spans="1:1">
      <c r="A73">
        <v>7.2</v>
      </c>
    </row>
    <row r="74" spans="1:1">
      <c r="A74">
        <v>6.6</v>
      </c>
    </row>
    <row r="75" spans="1:1">
      <c r="A75">
        <v>9.9</v>
      </c>
    </row>
    <row r="76" spans="1:1">
      <c r="A76">
        <v>8.3</v>
      </c>
    </row>
    <row r="77" spans="1:1">
      <c r="A77">
        <v>3.2</v>
      </c>
    </row>
    <row r="78" spans="1:1">
      <c r="A78">
        <v>4.2</v>
      </c>
    </row>
    <row r="79" spans="1:1">
      <c r="A79">
        <v>6.9</v>
      </c>
    </row>
    <row r="80" spans="1:1">
      <c r="A80">
        <v>0.7</v>
      </c>
    </row>
    <row r="81" spans="1:1">
      <c r="A81">
        <v>4.9</v>
      </c>
    </row>
    <row r="82" spans="1:1">
      <c r="A82">
        <v>2.1</v>
      </c>
    </row>
    <row r="83" spans="1:1">
      <c r="A83">
        <v>1.6</v>
      </c>
    </row>
    <row r="84" spans="1:1">
      <c r="A84">
        <v>1.1</v>
      </c>
    </row>
    <row r="85" spans="1:1">
      <c r="A85">
        <v>7.8</v>
      </c>
    </row>
    <row r="86" spans="1:1">
      <c r="A86">
        <v>1.7</v>
      </c>
    </row>
    <row r="87" spans="1:1">
      <c r="A87">
        <v>2.9</v>
      </c>
    </row>
    <row r="88" spans="1:1">
      <c r="A88">
        <v>4.2</v>
      </c>
    </row>
    <row r="89" spans="1:1">
      <c r="A89">
        <v>8.8</v>
      </c>
    </row>
    <row r="90" spans="1:1">
      <c r="A90">
        <v>1.3</v>
      </c>
    </row>
    <row r="91" spans="1:1">
      <c r="A91">
        <v>4.8</v>
      </c>
    </row>
    <row r="92" spans="1:1">
      <c r="A92">
        <v>5.7</v>
      </c>
    </row>
    <row r="93" spans="1:1">
      <c r="A93">
        <v>8.9</v>
      </c>
    </row>
    <row r="94" spans="1:1">
      <c r="A94">
        <v>8.3</v>
      </c>
    </row>
    <row r="95" spans="1:1">
      <c r="A95">
        <v>8.7</v>
      </c>
    </row>
    <row r="96" spans="1:1">
      <c r="A96">
        <v>3.1</v>
      </c>
    </row>
    <row r="97" spans="1:1">
      <c r="A97">
        <v>4.4</v>
      </c>
    </row>
    <row r="98" spans="1:1">
      <c r="A98">
        <v>3.9</v>
      </c>
    </row>
    <row r="99" spans="1:1">
      <c r="A99">
        <v>8.9</v>
      </c>
    </row>
    <row r="100" spans="1:1">
      <c r="A100">
        <v>9.6</v>
      </c>
    </row>
    <row r="101" spans="1:1">
      <c r="A101">
        <v>1.9</v>
      </c>
    </row>
    <row r="103" spans="2:2">
      <c r="B103" s="1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selection activeCell="G16" sqref="G16"/>
    </sheetView>
  </sheetViews>
  <sheetFormatPr defaultColWidth="8.83333333333333" defaultRowHeight="14.4"/>
  <cols>
    <col min="2" max="2" width="12.3333333333333" customWidth="1"/>
    <col min="3" max="3" width="10.3333333333333" customWidth="1"/>
    <col min="4" max="4" width="12.6666666666667" customWidth="1"/>
    <col min="5" max="5" width="17.1666666666667" customWidth="1"/>
    <col min="7" max="7" width="15" customWidth="1"/>
    <col min="8" max="8" width="12.8333333333333" customWidth="1"/>
    <col min="9" max="9" width="11.1666666666667" customWidth="1"/>
  </cols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G1" t="s">
        <v>13</v>
      </c>
    </row>
    <row r="2" spans="1:9">
      <c r="A2" s="1">
        <v>1</v>
      </c>
      <c r="B2" s="1">
        <v>1.8</v>
      </c>
      <c r="C2" s="1">
        <v>79</v>
      </c>
      <c r="D2" s="2" cm="1">
        <f t="array" ref="D2:D101">C2:C101/(B2:B101^2)</f>
        <v>24.3827160493827</v>
      </c>
      <c r="E2" s="1" t="str">
        <f>IF(D2&lt;18.5,"Gầy",IF(D2&lt;25,"Bình thường",IF(D2&lt;30,"Thừa cân","Béo phì")))</f>
        <v>Bình thường</v>
      </c>
      <c r="G2" s="3" t="s">
        <v>14</v>
      </c>
      <c r="H2" s="3" t="s">
        <v>15</v>
      </c>
      <c r="I2" s="6"/>
    </row>
    <row r="3" spans="1:9">
      <c r="A3" s="1">
        <v>2</v>
      </c>
      <c r="B3" s="1">
        <v>1.53</v>
      </c>
      <c r="C3" s="1">
        <v>77</v>
      </c>
      <c r="D3" s="1">
        <v>32.8933316245888</v>
      </c>
      <c r="E3" s="1" t="str">
        <f t="shared" ref="E3:E34" si="0">IF(D3&lt;18.5,"Gầy",IF(D3&lt;25,"Bình thường",IF(D3&lt;30,"Thừa cân","Béo phì")))</f>
        <v>Béo phì</v>
      </c>
      <c r="G3" s="1" t="s">
        <v>16</v>
      </c>
      <c r="H3" s="4">
        <f>AVERAGE(D2:D101)</f>
        <v>23.855580794398</v>
      </c>
      <c r="I3" s="7"/>
    </row>
    <row r="4" spans="1:9">
      <c r="A4" s="1">
        <v>3</v>
      </c>
      <c r="B4" s="1">
        <v>1.61</v>
      </c>
      <c r="C4" s="1">
        <v>47</v>
      </c>
      <c r="D4" s="1">
        <v>18.1320165117087</v>
      </c>
      <c r="E4" s="1" t="str">
        <f t="shared" si="0"/>
        <v>Gầy</v>
      </c>
      <c r="G4" s="1" t="s">
        <v>17</v>
      </c>
      <c r="H4" s="1">
        <f>MEDIAN(D2:D101)</f>
        <v>23.5927328882492</v>
      </c>
      <c r="I4" s="7"/>
    </row>
    <row r="5" spans="1:9">
      <c r="A5" s="1">
        <v>4</v>
      </c>
      <c r="B5" s="1">
        <v>1.66</v>
      </c>
      <c r="C5" s="1">
        <v>74</v>
      </c>
      <c r="D5" s="1">
        <v>26.8544055741036</v>
      </c>
      <c r="E5" s="1" t="str">
        <f t="shared" si="0"/>
        <v>Thừa cân</v>
      </c>
      <c r="G5" s="1" t="s">
        <v>18</v>
      </c>
      <c r="H5" s="1">
        <f>_xlfn.VAR.S(D2:D101)</f>
        <v>32.1762195301032</v>
      </c>
      <c r="I5" s="7"/>
    </row>
    <row r="6" spans="1:9">
      <c r="A6" s="1">
        <v>5</v>
      </c>
      <c r="B6" s="1">
        <v>1.83</v>
      </c>
      <c r="C6" s="1">
        <v>53</v>
      </c>
      <c r="D6" s="1">
        <v>15.8260921496611</v>
      </c>
      <c r="E6" s="1" t="str">
        <f t="shared" si="0"/>
        <v>Gầy</v>
      </c>
      <c r="G6" s="1" t="s">
        <v>19</v>
      </c>
      <c r="H6" s="1">
        <f>_xlfn.STDEV.S(D2:D101)</f>
        <v>5.67240861804782</v>
      </c>
      <c r="I6" s="7"/>
    </row>
    <row r="7" spans="1:5">
      <c r="A7" s="1">
        <v>6</v>
      </c>
      <c r="B7" s="1">
        <v>1.58</v>
      </c>
      <c r="C7" s="1">
        <v>71</v>
      </c>
      <c r="D7" s="1">
        <v>28.4409549751642</v>
      </c>
      <c r="E7" s="1" t="str">
        <f t="shared" si="0"/>
        <v>Thừa cân</v>
      </c>
    </row>
    <row r="8" spans="1:5">
      <c r="A8" s="1">
        <v>7</v>
      </c>
      <c r="B8" s="1">
        <v>1.59</v>
      </c>
      <c r="C8" s="1">
        <v>66</v>
      </c>
      <c r="D8" s="1">
        <v>26.1065622404177</v>
      </c>
      <c r="E8" s="1" t="str">
        <f t="shared" si="0"/>
        <v>Thừa cân</v>
      </c>
    </row>
    <row r="9" spans="1:5">
      <c r="A9" s="1">
        <v>8</v>
      </c>
      <c r="B9" s="1">
        <v>1.66</v>
      </c>
      <c r="C9" s="1">
        <v>70</v>
      </c>
      <c r="D9" s="1">
        <v>25.4028160836116</v>
      </c>
      <c r="E9" s="1" t="str">
        <f t="shared" si="0"/>
        <v>Thừa cân</v>
      </c>
    </row>
    <row r="10" spans="1:7">
      <c r="A10" s="1">
        <v>9</v>
      </c>
      <c r="B10" s="1">
        <v>1.5</v>
      </c>
      <c r="C10" s="1">
        <v>90</v>
      </c>
      <c r="D10" s="1">
        <v>40</v>
      </c>
      <c r="E10" s="1" t="str">
        <f t="shared" si="0"/>
        <v>Béo phì</v>
      </c>
      <c r="G10" t="s">
        <v>20</v>
      </c>
    </row>
    <row r="11" ht="16.2" spans="1:12">
      <c r="A11" s="1">
        <v>10</v>
      </c>
      <c r="B11" s="1">
        <v>1.66</v>
      </c>
      <c r="C11" s="1">
        <v>64</v>
      </c>
      <c r="D11" s="1">
        <v>23.2254318478734</v>
      </c>
      <c r="E11" s="1" t="str">
        <f t="shared" si="0"/>
        <v>Bình thường</v>
      </c>
      <c r="G11" s="3" t="s">
        <v>21</v>
      </c>
      <c r="H11" s="3" t="s">
        <v>22</v>
      </c>
      <c r="I11" s="8" t="s">
        <v>23</v>
      </c>
      <c r="L11" s="9"/>
    </row>
    <row r="12" spans="1:9">
      <c r="A12" s="1">
        <v>11</v>
      </c>
      <c r="B12" s="1">
        <v>1.64</v>
      </c>
      <c r="C12" s="1">
        <v>73</v>
      </c>
      <c r="D12" s="1">
        <v>27.1415823914337</v>
      </c>
      <c r="E12" s="1" t="str">
        <f t="shared" si="0"/>
        <v>Thừa cân</v>
      </c>
      <c r="G12" s="1" t="s">
        <v>24</v>
      </c>
      <c r="H12" s="1">
        <f>COUNTIF(E2:E101,"Gầy")</f>
        <v>20</v>
      </c>
      <c r="I12" s="10">
        <f>H12/$H$16</f>
        <v>0.2</v>
      </c>
    </row>
    <row r="13" spans="1:9">
      <c r="A13" s="1">
        <v>12</v>
      </c>
      <c r="B13" s="1">
        <v>1.6</v>
      </c>
      <c r="C13" s="1">
        <v>80</v>
      </c>
      <c r="D13" s="1">
        <v>31.25</v>
      </c>
      <c r="E13" s="1" t="str">
        <f t="shared" si="0"/>
        <v>Béo phì</v>
      </c>
      <c r="G13" s="1" t="s">
        <v>25</v>
      </c>
      <c r="H13" s="1">
        <f>COUNTIF(E2:E101,"Bình thường")</f>
        <v>38</v>
      </c>
      <c r="I13" s="10">
        <f>H13/$H$16</f>
        <v>0.38</v>
      </c>
    </row>
    <row r="14" spans="1:9">
      <c r="A14" s="1">
        <v>13</v>
      </c>
      <c r="B14" s="1">
        <v>1.83</v>
      </c>
      <c r="C14" s="1">
        <v>85</v>
      </c>
      <c r="D14" s="1">
        <v>25.3814685419093</v>
      </c>
      <c r="E14" s="1" t="str">
        <f t="shared" si="0"/>
        <v>Thừa cân</v>
      </c>
      <c r="G14" s="1" t="s">
        <v>26</v>
      </c>
      <c r="H14" s="1">
        <f>COUNTIF(E2:E101,"Thừa cân")</f>
        <v>28</v>
      </c>
      <c r="I14" s="10">
        <f>H14/$H$16</f>
        <v>0.28</v>
      </c>
    </row>
    <row r="15" spans="1:9">
      <c r="A15" s="1">
        <v>14</v>
      </c>
      <c r="B15" s="1">
        <v>1.54</v>
      </c>
      <c r="C15" s="1">
        <v>47</v>
      </c>
      <c r="D15" s="1">
        <v>19.8178444931692</v>
      </c>
      <c r="E15" s="1" t="str">
        <f t="shared" si="0"/>
        <v>Bình thường</v>
      </c>
      <c r="G15" s="1" t="s">
        <v>27</v>
      </c>
      <c r="H15" s="1">
        <f>COUNTIF(E2:E101,"Béo phì")</f>
        <v>14</v>
      </c>
      <c r="I15" s="10">
        <f>H15/$H$16</f>
        <v>0.14</v>
      </c>
    </row>
    <row r="16" spans="1:9">
      <c r="A16" s="1">
        <v>15</v>
      </c>
      <c r="B16" s="1">
        <v>1.7</v>
      </c>
      <c r="C16" s="1">
        <v>85</v>
      </c>
      <c r="D16" s="1">
        <v>29.4117647058824</v>
      </c>
      <c r="E16" s="1" t="str">
        <f t="shared" si="0"/>
        <v>Thừa cân</v>
      </c>
      <c r="G16" s="5"/>
      <c r="H16" s="5">
        <v>100</v>
      </c>
      <c r="I16" s="11">
        <v>1</v>
      </c>
    </row>
    <row r="17" spans="1:5">
      <c r="A17" s="1">
        <v>16</v>
      </c>
      <c r="B17" s="1">
        <v>1.71</v>
      </c>
      <c r="C17" s="1">
        <v>75</v>
      </c>
      <c r="D17" s="1">
        <v>25.6489176156766</v>
      </c>
      <c r="E17" s="1" t="str">
        <f t="shared" si="0"/>
        <v>Thừa cân</v>
      </c>
    </row>
    <row r="18" spans="1:5">
      <c r="A18" s="1">
        <v>17</v>
      </c>
      <c r="B18" s="1">
        <v>1.52</v>
      </c>
      <c r="C18" s="1">
        <v>56</v>
      </c>
      <c r="D18" s="1">
        <v>24.2382271468144</v>
      </c>
      <c r="E18" s="1" t="str">
        <f t="shared" si="0"/>
        <v>Bình thường</v>
      </c>
    </row>
    <row r="19" spans="1:5">
      <c r="A19" s="1">
        <v>18</v>
      </c>
      <c r="B19" s="1">
        <v>1.81</v>
      </c>
      <c r="C19" s="1">
        <v>79</v>
      </c>
      <c r="D19" s="1">
        <v>24.1140380330271</v>
      </c>
      <c r="E19" s="1" t="str">
        <f t="shared" si="0"/>
        <v>Bình thường</v>
      </c>
    </row>
    <row r="20" spans="1:5">
      <c r="A20" s="1">
        <v>19</v>
      </c>
      <c r="B20" s="1">
        <v>1.52</v>
      </c>
      <c r="C20" s="1">
        <v>60</v>
      </c>
      <c r="D20" s="1">
        <v>25.9695290858726</v>
      </c>
      <c r="E20" s="1" t="str">
        <f t="shared" si="0"/>
        <v>Thừa cân</v>
      </c>
    </row>
    <row r="21" spans="1:5">
      <c r="A21" s="1">
        <v>20</v>
      </c>
      <c r="B21" s="1">
        <v>1.84</v>
      </c>
      <c r="C21" s="1">
        <v>64</v>
      </c>
      <c r="D21" s="1">
        <v>18.9035916824197</v>
      </c>
      <c r="E21" s="1" t="str">
        <f t="shared" si="0"/>
        <v>Bình thường</v>
      </c>
    </row>
    <row r="22" spans="1:5">
      <c r="A22" s="1">
        <v>21</v>
      </c>
      <c r="B22" s="1">
        <v>1.6</v>
      </c>
      <c r="C22" s="1">
        <v>50</v>
      </c>
      <c r="D22" s="1">
        <v>19.53125</v>
      </c>
      <c r="E22" s="1" t="str">
        <f t="shared" si="0"/>
        <v>Bình thường</v>
      </c>
    </row>
    <row r="23" spans="1:5">
      <c r="A23" s="1">
        <v>22</v>
      </c>
      <c r="B23" s="1">
        <v>1.6</v>
      </c>
      <c r="C23" s="1">
        <v>74</v>
      </c>
      <c r="D23" s="1">
        <v>28.90625</v>
      </c>
      <c r="E23" s="1" t="str">
        <f t="shared" si="0"/>
        <v>Thừa cân</v>
      </c>
    </row>
    <row r="24" spans="1:5">
      <c r="A24" s="1">
        <v>23</v>
      </c>
      <c r="B24" s="1">
        <v>1.62</v>
      </c>
      <c r="C24" s="1">
        <v>51</v>
      </c>
      <c r="D24" s="1">
        <v>19.4330132601738</v>
      </c>
      <c r="E24" s="1" t="str">
        <f t="shared" si="0"/>
        <v>Bình thường</v>
      </c>
    </row>
    <row r="25" spans="1:5">
      <c r="A25" s="1">
        <v>24</v>
      </c>
      <c r="B25" s="1">
        <v>1.53</v>
      </c>
      <c r="C25" s="1">
        <v>60</v>
      </c>
      <c r="D25" s="1">
        <v>25.6311674996796</v>
      </c>
      <c r="E25" s="1" t="str">
        <f t="shared" si="0"/>
        <v>Thừa cân</v>
      </c>
    </row>
    <row r="26" spans="1:5">
      <c r="A26" s="1">
        <v>25</v>
      </c>
      <c r="B26" s="1">
        <v>1.5</v>
      </c>
      <c r="C26" s="1">
        <v>80</v>
      </c>
      <c r="D26" s="1">
        <v>35.5555555555556</v>
      </c>
      <c r="E26" s="1" t="str">
        <f t="shared" si="0"/>
        <v>Béo phì</v>
      </c>
    </row>
    <row r="27" spans="1:5">
      <c r="A27" s="1">
        <v>26</v>
      </c>
      <c r="B27" s="1">
        <v>1.72</v>
      </c>
      <c r="C27" s="1">
        <v>86</v>
      </c>
      <c r="D27" s="1">
        <v>29.0697674418605</v>
      </c>
      <c r="E27" s="1" t="str">
        <f t="shared" si="0"/>
        <v>Thừa cân</v>
      </c>
    </row>
    <row r="28" spans="1:5">
      <c r="A28" s="1">
        <v>27</v>
      </c>
      <c r="B28" s="1">
        <v>1.76</v>
      </c>
      <c r="C28" s="1">
        <v>89</v>
      </c>
      <c r="D28" s="1">
        <v>28.7319214876033</v>
      </c>
      <c r="E28" s="1" t="str">
        <f t="shared" si="0"/>
        <v>Thừa cân</v>
      </c>
    </row>
    <row r="29" spans="1:5">
      <c r="A29" s="1">
        <v>28</v>
      </c>
      <c r="B29" s="1">
        <v>1.56</v>
      </c>
      <c r="C29" s="1">
        <v>46</v>
      </c>
      <c r="D29" s="1">
        <v>18.9020381328074</v>
      </c>
      <c r="E29" s="1" t="str">
        <f t="shared" si="0"/>
        <v>Bình thường</v>
      </c>
    </row>
    <row r="30" spans="1:5">
      <c r="A30" s="1">
        <v>29</v>
      </c>
      <c r="B30" s="1">
        <v>1.72</v>
      </c>
      <c r="C30" s="1">
        <v>83</v>
      </c>
      <c r="D30" s="1">
        <v>28.0557057869118</v>
      </c>
      <c r="E30" s="1" t="str">
        <f t="shared" si="0"/>
        <v>Thừa cân</v>
      </c>
    </row>
    <row r="31" spans="1:5">
      <c r="A31" s="1">
        <v>30</v>
      </c>
      <c r="B31" s="1">
        <v>1.8</v>
      </c>
      <c r="C31" s="1">
        <v>49</v>
      </c>
      <c r="D31" s="1">
        <v>15.1234567901235</v>
      </c>
      <c r="E31" s="1" t="str">
        <f t="shared" si="0"/>
        <v>Gầy</v>
      </c>
    </row>
    <row r="32" spans="1:5">
      <c r="A32" s="1">
        <v>31</v>
      </c>
      <c r="B32" s="1">
        <v>1.76</v>
      </c>
      <c r="C32" s="1">
        <v>65</v>
      </c>
      <c r="D32" s="1">
        <v>20.9839876033058</v>
      </c>
      <c r="E32" s="1" t="str">
        <f t="shared" si="0"/>
        <v>Bình thường</v>
      </c>
    </row>
    <row r="33" spans="1:5">
      <c r="A33" s="1">
        <v>32</v>
      </c>
      <c r="B33" s="1">
        <v>1.84</v>
      </c>
      <c r="C33" s="1">
        <v>59</v>
      </c>
      <c r="D33" s="1">
        <v>17.4267485822306</v>
      </c>
      <c r="E33" s="1" t="str">
        <f t="shared" si="0"/>
        <v>Gầy</v>
      </c>
    </row>
    <row r="34" spans="1:5">
      <c r="A34" s="1">
        <v>33</v>
      </c>
      <c r="B34" s="1">
        <v>1.74</v>
      </c>
      <c r="C34" s="1">
        <v>84</v>
      </c>
      <c r="D34" s="1">
        <v>27.7447483154974</v>
      </c>
      <c r="E34" s="1" t="str">
        <f t="shared" si="0"/>
        <v>Thừa cân</v>
      </c>
    </row>
    <row r="35" spans="1:5">
      <c r="A35" s="1">
        <v>34</v>
      </c>
      <c r="B35" s="1">
        <v>1.82</v>
      </c>
      <c r="C35" s="1">
        <v>87</v>
      </c>
      <c r="D35" s="1">
        <v>26.2649438473614</v>
      </c>
      <c r="E35" s="1" t="str">
        <f t="shared" ref="E35:E66" si="1">IF(D35&lt;18.5,"Gầy",IF(D35&lt;25,"Bình thường",IF(D35&lt;30,"Thừa cân","Béo phì")))</f>
        <v>Thừa cân</v>
      </c>
    </row>
    <row r="36" spans="1:5">
      <c r="A36" s="1">
        <v>35</v>
      </c>
      <c r="B36" s="1">
        <v>1.77</v>
      </c>
      <c r="C36" s="1">
        <v>64</v>
      </c>
      <c r="D36" s="1">
        <v>20.4283571132178</v>
      </c>
      <c r="E36" s="1" t="str">
        <f t="shared" si="1"/>
        <v>Bình thường</v>
      </c>
    </row>
    <row r="37" spans="1:5">
      <c r="A37" s="1">
        <v>36</v>
      </c>
      <c r="B37" s="1">
        <v>1.78</v>
      </c>
      <c r="C37" s="1">
        <v>83</v>
      </c>
      <c r="D37" s="1">
        <v>26.1961873500821</v>
      </c>
      <c r="E37" s="1" t="str">
        <f t="shared" si="1"/>
        <v>Thừa cân</v>
      </c>
    </row>
    <row r="38" spans="1:5">
      <c r="A38" s="1">
        <v>37</v>
      </c>
      <c r="B38" s="1">
        <v>1.63</v>
      </c>
      <c r="C38" s="1">
        <v>54</v>
      </c>
      <c r="D38" s="1">
        <v>20.3244382551093</v>
      </c>
      <c r="E38" s="1" t="str">
        <f t="shared" si="1"/>
        <v>Bình thường</v>
      </c>
    </row>
    <row r="39" spans="1:5">
      <c r="A39" s="1">
        <v>38</v>
      </c>
      <c r="B39" s="1">
        <v>1.72</v>
      </c>
      <c r="C39" s="1">
        <v>68</v>
      </c>
      <c r="D39" s="1">
        <v>22.9853975121687</v>
      </c>
      <c r="E39" s="1" t="str">
        <f t="shared" si="1"/>
        <v>Bình thường</v>
      </c>
    </row>
    <row r="40" spans="1:5">
      <c r="A40" s="1">
        <v>39</v>
      </c>
      <c r="B40" s="1">
        <v>1.7</v>
      </c>
      <c r="C40" s="1">
        <v>49</v>
      </c>
      <c r="D40" s="1">
        <v>16.9550173010381</v>
      </c>
      <c r="E40" s="1" t="str">
        <f t="shared" si="1"/>
        <v>Gầy</v>
      </c>
    </row>
    <row r="41" spans="1:5">
      <c r="A41" s="1">
        <v>40</v>
      </c>
      <c r="B41" s="1">
        <v>1.73</v>
      </c>
      <c r="C41" s="1">
        <v>61</v>
      </c>
      <c r="D41" s="1">
        <v>20.3815697149921</v>
      </c>
      <c r="E41" s="1" t="str">
        <f t="shared" si="1"/>
        <v>Bình thường</v>
      </c>
    </row>
    <row r="42" spans="1:5">
      <c r="A42" s="1">
        <v>41</v>
      </c>
      <c r="B42" s="1">
        <v>1.66</v>
      </c>
      <c r="C42" s="1">
        <v>83</v>
      </c>
      <c r="D42" s="1">
        <v>30.1204819277108</v>
      </c>
      <c r="E42" s="1" t="str">
        <f t="shared" si="1"/>
        <v>Béo phì</v>
      </c>
    </row>
    <row r="43" spans="1:5">
      <c r="A43" s="1">
        <v>42</v>
      </c>
      <c r="B43" s="1">
        <v>1.66</v>
      </c>
      <c r="C43" s="1">
        <v>80</v>
      </c>
      <c r="D43" s="1">
        <v>29.0317898098418</v>
      </c>
      <c r="E43" s="1" t="str">
        <f t="shared" si="1"/>
        <v>Thừa cân</v>
      </c>
    </row>
    <row r="44" spans="1:5">
      <c r="A44" s="1">
        <v>43</v>
      </c>
      <c r="B44" s="1">
        <v>1.82</v>
      </c>
      <c r="C44" s="1">
        <v>77</v>
      </c>
      <c r="D44" s="1">
        <v>23.2459847844463</v>
      </c>
      <c r="E44" s="1" t="str">
        <f t="shared" si="1"/>
        <v>Bình thường</v>
      </c>
    </row>
    <row r="45" spans="1:5">
      <c r="A45" s="1">
        <v>44</v>
      </c>
      <c r="B45" s="1">
        <v>1.58</v>
      </c>
      <c r="C45" s="1">
        <v>57</v>
      </c>
      <c r="D45" s="1">
        <v>22.8328793462586</v>
      </c>
      <c r="E45" s="1" t="str">
        <f t="shared" si="1"/>
        <v>Bình thường</v>
      </c>
    </row>
    <row r="46" spans="1:5">
      <c r="A46" s="1">
        <v>45</v>
      </c>
      <c r="B46" s="1">
        <v>1.51</v>
      </c>
      <c r="C46" s="1">
        <v>79</v>
      </c>
      <c r="D46" s="1">
        <v>34.6476031752993</v>
      </c>
      <c r="E46" s="1" t="str">
        <f t="shared" si="1"/>
        <v>Béo phì</v>
      </c>
    </row>
    <row r="47" spans="1:5">
      <c r="A47" s="1">
        <v>46</v>
      </c>
      <c r="B47" s="1">
        <v>1.77</v>
      </c>
      <c r="C47" s="1">
        <v>75</v>
      </c>
      <c r="D47" s="1">
        <v>23.9394809920521</v>
      </c>
      <c r="E47" s="1" t="str">
        <f t="shared" si="1"/>
        <v>Bình thường</v>
      </c>
    </row>
    <row r="48" spans="1:5">
      <c r="A48" s="1">
        <v>47</v>
      </c>
      <c r="B48" s="1">
        <v>1.61</v>
      </c>
      <c r="C48" s="1">
        <v>54</v>
      </c>
      <c r="D48" s="1">
        <v>20.8325296091972</v>
      </c>
      <c r="E48" s="1" t="str">
        <f t="shared" si="1"/>
        <v>Bình thường</v>
      </c>
    </row>
    <row r="49" spans="1:5">
      <c r="A49" s="1">
        <v>48</v>
      </c>
      <c r="B49" s="1">
        <v>1.51</v>
      </c>
      <c r="C49" s="1">
        <v>60</v>
      </c>
      <c r="D49" s="1">
        <v>26.3146353230121</v>
      </c>
      <c r="E49" s="1" t="str">
        <f t="shared" si="1"/>
        <v>Thừa cân</v>
      </c>
    </row>
    <row r="50" spans="1:5">
      <c r="A50" s="1">
        <v>49</v>
      </c>
      <c r="B50" s="1">
        <v>1.8</v>
      </c>
      <c r="C50" s="1">
        <v>55</v>
      </c>
      <c r="D50" s="1">
        <v>16.9753086419753</v>
      </c>
      <c r="E50" s="1" t="str">
        <f t="shared" si="1"/>
        <v>Gầy</v>
      </c>
    </row>
    <row r="51" spans="1:5">
      <c r="A51" s="1">
        <v>50</v>
      </c>
      <c r="B51" s="1">
        <v>1.52</v>
      </c>
      <c r="C51" s="1">
        <v>80</v>
      </c>
      <c r="D51" s="1">
        <v>34.6260387811634</v>
      </c>
      <c r="E51" s="1" t="str">
        <f t="shared" si="1"/>
        <v>Béo phì</v>
      </c>
    </row>
    <row r="52" spans="1:5">
      <c r="A52" s="1">
        <v>51</v>
      </c>
      <c r="B52" s="1">
        <v>1.78</v>
      </c>
      <c r="C52" s="1">
        <v>70</v>
      </c>
      <c r="D52" s="1">
        <v>22.0931700542861</v>
      </c>
      <c r="E52" s="1" t="str">
        <f t="shared" si="1"/>
        <v>Bình thường</v>
      </c>
    </row>
    <row r="53" spans="1:5">
      <c r="A53" s="1">
        <v>52</v>
      </c>
      <c r="B53" s="1">
        <v>1.84</v>
      </c>
      <c r="C53" s="1">
        <v>72</v>
      </c>
      <c r="D53" s="1">
        <v>21.2665406427221</v>
      </c>
      <c r="E53" s="1" t="str">
        <f t="shared" si="1"/>
        <v>Bình thường</v>
      </c>
    </row>
    <row r="54" spans="1:5">
      <c r="A54" s="1">
        <v>53</v>
      </c>
      <c r="B54" s="1">
        <v>1.71</v>
      </c>
      <c r="C54" s="1">
        <v>55</v>
      </c>
      <c r="D54" s="1">
        <v>18.8092062514962</v>
      </c>
      <c r="E54" s="1" t="str">
        <f t="shared" si="1"/>
        <v>Bình thường</v>
      </c>
    </row>
    <row r="55" spans="1:5">
      <c r="A55" s="1">
        <v>54</v>
      </c>
      <c r="B55" s="1">
        <v>1.57</v>
      </c>
      <c r="C55" s="1">
        <v>72</v>
      </c>
      <c r="D55" s="1">
        <v>29.2101099436083</v>
      </c>
      <c r="E55" s="1" t="str">
        <f t="shared" si="1"/>
        <v>Thừa cân</v>
      </c>
    </row>
    <row r="56" spans="1:5">
      <c r="A56" s="1">
        <v>55</v>
      </c>
      <c r="B56" s="1">
        <v>1.8</v>
      </c>
      <c r="C56" s="1">
        <v>85</v>
      </c>
      <c r="D56" s="1">
        <v>26.2345679012346</v>
      </c>
      <c r="E56" s="1" t="str">
        <f t="shared" si="1"/>
        <v>Thừa cân</v>
      </c>
    </row>
    <row r="57" spans="1:5">
      <c r="A57" s="1">
        <v>56</v>
      </c>
      <c r="B57" s="1">
        <v>1.57</v>
      </c>
      <c r="C57" s="1">
        <v>45</v>
      </c>
      <c r="D57" s="1">
        <v>18.2563187147552</v>
      </c>
      <c r="E57" s="1" t="str">
        <f t="shared" si="1"/>
        <v>Gầy</v>
      </c>
    </row>
    <row r="58" spans="1:5">
      <c r="A58" s="1">
        <v>57</v>
      </c>
      <c r="B58" s="1">
        <v>1.53</v>
      </c>
      <c r="C58" s="1">
        <v>50</v>
      </c>
      <c r="D58" s="1">
        <v>21.359306249733</v>
      </c>
      <c r="E58" s="1" t="str">
        <f t="shared" si="1"/>
        <v>Bình thường</v>
      </c>
    </row>
    <row r="59" spans="1:5">
      <c r="A59" s="1">
        <v>58</v>
      </c>
      <c r="B59" s="1">
        <v>1.84</v>
      </c>
      <c r="C59" s="1">
        <v>49</v>
      </c>
      <c r="D59" s="1">
        <v>14.4730623818526</v>
      </c>
      <c r="E59" s="1" t="str">
        <f t="shared" si="1"/>
        <v>Gầy</v>
      </c>
    </row>
    <row r="60" spans="1:5">
      <c r="A60" s="1">
        <v>59</v>
      </c>
      <c r="B60" s="1">
        <v>1.54</v>
      </c>
      <c r="C60" s="1">
        <v>57</v>
      </c>
      <c r="D60" s="1">
        <v>24.0344071512903</v>
      </c>
      <c r="E60" s="1" t="str">
        <f t="shared" si="1"/>
        <v>Bình thường</v>
      </c>
    </row>
    <row r="61" spans="1:5">
      <c r="A61" s="1">
        <v>60</v>
      </c>
      <c r="B61" s="1">
        <v>1.64</v>
      </c>
      <c r="C61" s="1">
        <v>86</v>
      </c>
      <c r="D61" s="1">
        <v>31.9750148720999</v>
      </c>
      <c r="E61" s="1" t="str">
        <f t="shared" si="1"/>
        <v>Béo phì</v>
      </c>
    </row>
    <row r="62" spans="1:5">
      <c r="A62" s="1">
        <v>61</v>
      </c>
      <c r="B62" s="1">
        <v>1.54</v>
      </c>
      <c r="C62" s="1">
        <v>76</v>
      </c>
      <c r="D62" s="1">
        <v>32.0458762017204</v>
      </c>
      <c r="E62" s="1" t="str">
        <f t="shared" si="1"/>
        <v>Béo phì</v>
      </c>
    </row>
    <row r="63" spans="1:5">
      <c r="A63" s="1">
        <v>62</v>
      </c>
      <c r="B63" s="1">
        <v>1.83</v>
      </c>
      <c r="C63" s="1">
        <v>58</v>
      </c>
      <c r="D63" s="1">
        <v>17.3191197109499</v>
      </c>
      <c r="E63" s="1" t="str">
        <f t="shared" si="1"/>
        <v>Gầy</v>
      </c>
    </row>
    <row r="64" spans="1:5">
      <c r="A64" s="1">
        <v>63</v>
      </c>
      <c r="B64" s="1">
        <v>1.67</v>
      </c>
      <c r="C64" s="1">
        <v>63</v>
      </c>
      <c r="D64" s="1">
        <v>22.5895514360501</v>
      </c>
      <c r="E64" s="1" t="str">
        <f t="shared" si="1"/>
        <v>Bình thường</v>
      </c>
    </row>
    <row r="65" spans="1:5">
      <c r="A65" s="1">
        <v>64</v>
      </c>
      <c r="B65" s="1">
        <v>1.58</v>
      </c>
      <c r="C65" s="1">
        <v>45</v>
      </c>
      <c r="D65" s="1">
        <v>18.0259573786252</v>
      </c>
      <c r="E65" s="1" t="str">
        <f t="shared" si="1"/>
        <v>Gầy</v>
      </c>
    </row>
    <row r="66" spans="1:5">
      <c r="A66" s="1">
        <v>65</v>
      </c>
      <c r="B66" s="1">
        <v>1.85</v>
      </c>
      <c r="C66" s="1">
        <v>67</v>
      </c>
      <c r="D66" s="1">
        <v>19.5763330898466</v>
      </c>
      <c r="E66" s="1" t="str">
        <f t="shared" si="1"/>
        <v>Bình thường</v>
      </c>
    </row>
    <row r="67" spans="1:5">
      <c r="A67" s="1">
        <v>66</v>
      </c>
      <c r="B67" s="1">
        <v>1.81</v>
      </c>
      <c r="C67" s="1">
        <v>71</v>
      </c>
      <c r="D67" s="1">
        <v>21.6721101309484</v>
      </c>
      <c r="E67" s="1" t="str">
        <f t="shared" ref="E67:E101" si="2">IF(D67&lt;18.5,"Gầy",IF(D67&lt;25,"Bình thường",IF(D67&lt;30,"Thừa cân","Béo phì")))</f>
        <v>Bình thường</v>
      </c>
    </row>
    <row r="68" spans="1:5">
      <c r="A68" s="1">
        <v>67</v>
      </c>
      <c r="B68" s="1">
        <v>1.83</v>
      </c>
      <c r="C68" s="1">
        <v>81</v>
      </c>
      <c r="D68" s="1">
        <v>24.1870464928783</v>
      </c>
      <c r="E68" s="1" t="str">
        <f t="shared" si="2"/>
        <v>Bình thường</v>
      </c>
    </row>
    <row r="69" spans="1:5">
      <c r="A69" s="1">
        <v>68</v>
      </c>
      <c r="B69" s="1">
        <v>1.78</v>
      </c>
      <c r="C69" s="1">
        <v>70</v>
      </c>
      <c r="D69" s="1">
        <v>22.0931700542861</v>
      </c>
      <c r="E69" s="1" t="str">
        <f t="shared" si="2"/>
        <v>Bình thường</v>
      </c>
    </row>
    <row r="70" spans="1:5">
      <c r="A70" s="1">
        <v>69</v>
      </c>
      <c r="B70" s="1">
        <v>1.73</v>
      </c>
      <c r="C70" s="1">
        <v>49</v>
      </c>
      <c r="D70" s="1">
        <v>16.3720805907314</v>
      </c>
      <c r="E70" s="1" t="str">
        <f t="shared" si="2"/>
        <v>Gầy</v>
      </c>
    </row>
    <row r="71" spans="1:5">
      <c r="A71" s="1">
        <v>70</v>
      </c>
      <c r="B71" s="1">
        <v>1.59</v>
      </c>
      <c r="C71" s="1">
        <v>88</v>
      </c>
      <c r="D71" s="1">
        <v>34.8087496538903</v>
      </c>
      <c r="E71" s="1" t="str">
        <f t="shared" si="2"/>
        <v>Béo phì</v>
      </c>
    </row>
    <row r="72" spans="1:5">
      <c r="A72" s="1">
        <v>71</v>
      </c>
      <c r="B72" s="1">
        <v>1.84</v>
      </c>
      <c r="C72" s="1">
        <v>68</v>
      </c>
      <c r="D72" s="1">
        <v>20.0850661625709</v>
      </c>
      <c r="E72" s="1" t="str">
        <f t="shared" si="2"/>
        <v>Bình thường</v>
      </c>
    </row>
    <row r="73" spans="1:5">
      <c r="A73" s="1">
        <v>72</v>
      </c>
      <c r="B73" s="1">
        <v>1.63</v>
      </c>
      <c r="C73" s="1">
        <v>80</v>
      </c>
      <c r="D73" s="1">
        <v>30.1102788964583</v>
      </c>
      <c r="E73" s="1" t="str">
        <f t="shared" si="2"/>
        <v>Béo phì</v>
      </c>
    </row>
    <row r="74" spans="1:5">
      <c r="A74" s="1">
        <v>73</v>
      </c>
      <c r="B74" s="1">
        <v>1.85</v>
      </c>
      <c r="C74" s="1">
        <v>52</v>
      </c>
      <c r="D74" s="1">
        <v>15.1935719503287</v>
      </c>
      <c r="E74" s="1" t="str">
        <f t="shared" si="2"/>
        <v>Gầy</v>
      </c>
    </row>
    <row r="75" spans="1:5">
      <c r="A75" s="1">
        <v>74</v>
      </c>
      <c r="B75" s="1">
        <v>1.75</v>
      </c>
      <c r="C75" s="1">
        <v>79</v>
      </c>
      <c r="D75" s="1">
        <v>25.7959183673469</v>
      </c>
      <c r="E75" s="1" t="str">
        <f t="shared" si="2"/>
        <v>Thừa cân</v>
      </c>
    </row>
    <row r="76" spans="1:5">
      <c r="A76" s="1">
        <v>75</v>
      </c>
      <c r="B76" s="1">
        <v>1.81</v>
      </c>
      <c r="C76" s="1">
        <v>74</v>
      </c>
      <c r="D76" s="1">
        <v>22.5878330942279</v>
      </c>
      <c r="E76" s="1" t="str">
        <f t="shared" si="2"/>
        <v>Bình thường</v>
      </c>
    </row>
    <row r="77" spans="1:5">
      <c r="A77" s="1">
        <v>76</v>
      </c>
      <c r="B77" s="1">
        <v>1.8</v>
      </c>
      <c r="C77" s="1">
        <v>88</v>
      </c>
      <c r="D77" s="1">
        <v>27.1604938271605</v>
      </c>
      <c r="E77" s="1" t="str">
        <f t="shared" si="2"/>
        <v>Thừa cân</v>
      </c>
    </row>
    <row r="78" spans="1:5">
      <c r="A78" s="1">
        <v>77</v>
      </c>
      <c r="B78" s="1">
        <v>1.63</v>
      </c>
      <c r="C78" s="1">
        <v>86</v>
      </c>
      <c r="D78" s="1">
        <v>32.3685498136927</v>
      </c>
      <c r="E78" s="1" t="str">
        <f t="shared" si="2"/>
        <v>Béo phì</v>
      </c>
    </row>
    <row r="79" spans="1:5">
      <c r="A79" s="1">
        <v>78</v>
      </c>
      <c r="B79" s="1">
        <v>1.69</v>
      </c>
      <c r="C79" s="1">
        <v>77</v>
      </c>
      <c r="D79" s="1">
        <v>26.9598403417247</v>
      </c>
      <c r="E79" s="1" t="str">
        <f t="shared" si="2"/>
        <v>Thừa cân</v>
      </c>
    </row>
    <row r="80" spans="1:5">
      <c r="A80" s="1">
        <v>79</v>
      </c>
      <c r="B80" s="1">
        <v>1.7</v>
      </c>
      <c r="C80" s="1">
        <v>63</v>
      </c>
      <c r="D80" s="1">
        <v>21.7993079584775</v>
      </c>
      <c r="E80" s="1" t="str">
        <f t="shared" si="2"/>
        <v>Bình thường</v>
      </c>
    </row>
    <row r="81" spans="1:5">
      <c r="A81" s="1">
        <v>80</v>
      </c>
      <c r="B81" s="1">
        <v>1.58</v>
      </c>
      <c r="C81" s="1">
        <v>80</v>
      </c>
      <c r="D81" s="1">
        <v>32.0461464508893</v>
      </c>
      <c r="E81" s="1" t="str">
        <f t="shared" si="2"/>
        <v>Béo phì</v>
      </c>
    </row>
    <row r="82" spans="1:5">
      <c r="A82" s="1">
        <v>81</v>
      </c>
      <c r="B82" s="1">
        <v>1.58</v>
      </c>
      <c r="C82" s="1">
        <v>73</v>
      </c>
      <c r="D82" s="1">
        <v>29.2421086364365</v>
      </c>
      <c r="E82" s="1" t="str">
        <f t="shared" si="2"/>
        <v>Thừa cân</v>
      </c>
    </row>
    <row r="83" spans="1:5">
      <c r="A83" s="1">
        <v>82</v>
      </c>
      <c r="B83" s="1">
        <v>1.64</v>
      </c>
      <c r="C83" s="1">
        <v>61</v>
      </c>
      <c r="D83" s="1">
        <v>22.6799524092802</v>
      </c>
      <c r="E83" s="1" t="str">
        <f t="shared" si="2"/>
        <v>Bình thường</v>
      </c>
    </row>
    <row r="84" spans="1:5">
      <c r="A84" s="1">
        <v>83</v>
      </c>
      <c r="B84" s="1">
        <v>1.52</v>
      </c>
      <c r="C84" s="1">
        <v>47</v>
      </c>
      <c r="D84" s="1">
        <v>20.3427977839335</v>
      </c>
      <c r="E84" s="1" t="str">
        <f t="shared" si="2"/>
        <v>Bình thường</v>
      </c>
    </row>
    <row r="85" spans="1:5">
      <c r="A85" s="1">
        <v>84</v>
      </c>
      <c r="B85" s="1">
        <v>1.81</v>
      </c>
      <c r="C85" s="1">
        <v>46</v>
      </c>
      <c r="D85" s="1">
        <v>14.0410854369525</v>
      </c>
      <c r="E85" s="1" t="str">
        <f t="shared" si="2"/>
        <v>Gầy</v>
      </c>
    </row>
    <row r="86" spans="1:5">
      <c r="A86" s="1">
        <v>85</v>
      </c>
      <c r="B86" s="1">
        <v>1.51</v>
      </c>
      <c r="C86" s="1">
        <v>85</v>
      </c>
      <c r="D86" s="1">
        <v>37.2790667076005</v>
      </c>
      <c r="E86" s="1" t="str">
        <f t="shared" si="2"/>
        <v>Béo phì</v>
      </c>
    </row>
    <row r="87" spans="1:5">
      <c r="A87" s="1">
        <v>86</v>
      </c>
      <c r="B87" s="1">
        <v>1.6</v>
      </c>
      <c r="C87" s="1">
        <v>47</v>
      </c>
      <c r="D87" s="1">
        <v>18.359375</v>
      </c>
      <c r="E87" s="1" t="str">
        <f t="shared" si="2"/>
        <v>Gầy</v>
      </c>
    </row>
    <row r="88" spans="1:5">
      <c r="A88" s="1">
        <v>87</v>
      </c>
      <c r="B88" s="1">
        <v>1.63</v>
      </c>
      <c r="C88" s="1">
        <v>51</v>
      </c>
      <c r="D88" s="1">
        <v>19.1953027964922</v>
      </c>
      <c r="E88" s="1" t="str">
        <f t="shared" si="2"/>
        <v>Bình thường</v>
      </c>
    </row>
    <row r="89" spans="1:5">
      <c r="A89" s="1">
        <v>88</v>
      </c>
      <c r="B89" s="1">
        <v>1.73</v>
      </c>
      <c r="C89" s="1">
        <v>56</v>
      </c>
      <c r="D89" s="1">
        <v>18.7109492465502</v>
      </c>
      <c r="E89" s="1" t="str">
        <f t="shared" si="2"/>
        <v>Bình thường</v>
      </c>
    </row>
    <row r="90" spans="1:5">
      <c r="A90" s="1">
        <v>89</v>
      </c>
      <c r="B90" s="1">
        <v>1.65</v>
      </c>
      <c r="C90" s="1">
        <v>73</v>
      </c>
      <c r="D90" s="1">
        <v>26.8135904499541</v>
      </c>
      <c r="E90" s="1" t="str">
        <f t="shared" si="2"/>
        <v>Thừa cân</v>
      </c>
    </row>
    <row r="91" spans="1:5">
      <c r="A91" s="1">
        <v>90</v>
      </c>
      <c r="B91" s="1">
        <v>1.61</v>
      </c>
      <c r="C91" s="1">
        <v>63</v>
      </c>
      <c r="D91" s="1">
        <v>24.3046178773967</v>
      </c>
      <c r="E91" s="1" t="str">
        <f t="shared" si="2"/>
        <v>Bình thường</v>
      </c>
    </row>
    <row r="92" spans="1:5">
      <c r="A92" s="1">
        <v>91</v>
      </c>
      <c r="B92" s="1">
        <v>1.71</v>
      </c>
      <c r="C92" s="1">
        <v>54</v>
      </c>
      <c r="D92" s="1">
        <v>18.4672206832872</v>
      </c>
      <c r="E92" s="1" t="str">
        <f t="shared" si="2"/>
        <v>Gầy</v>
      </c>
    </row>
    <row r="93" spans="1:5">
      <c r="A93" s="1">
        <v>92</v>
      </c>
      <c r="B93" s="1">
        <v>1.84</v>
      </c>
      <c r="C93" s="1">
        <v>50</v>
      </c>
      <c r="D93" s="1">
        <v>14.7684310018904</v>
      </c>
      <c r="E93" s="1" t="str">
        <f t="shared" si="2"/>
        <v>Gầy</v>
      </c>
    </row>
    <row r="94" spans="1:5">
      <c r="A94" s="1">
        <v>93</v>
      </c>
      <c r="B94" s="1">
        <v>1.8</v>
      </c>
      <c r="C94" s="1">
        <v>57</v>
      </c>
      <c r="D94" s="1">
        <v>17.5925925925926</v>
      </c>
      <c r="E94" s="1" t="str">
        <f t="shared" si="2"/>
        <v>Gầy</v>
      </c>
    </row>
    <row r="95" spans="1:5">
      <c r="A95" s="1">
        <v>94</v>
      </c>
      <c r="B95" s="1">
        <v>1.6</v>
      </c>
      <c r="C95" s="1">
        <v>62</v>
      </c>
      <c r="D95" s="1">
        <v>24.21875</v>
      </c>
      <c r="E95" s="1" t="str">
        <f t="shared" si="2"/>
        <v>Bình thường</v>
      </c>
    </row>
    <row r="96" spans="1:5">
      <c r="A96" s="1">
        <v>95</v>
      </c>
      <c r="B96" s="1">
        <v>1.68</v>
      </c>
      <c r="C96" s="1">
        <v>76</v>
      </c>
      <c r="D96" s="1">
        <v>26.9274376417234</v>
      </c>
      <c r="E96" s="1" t="str">
        <f t="shared" si="2"/>
        <v>Thừa cân</v>
      </c>
    </row>
    <row r="97" spans="1:5">
      <c r="A97" s="1">
        <v>96</v>
      </c>
      <c r="B97" s="1">
        <v>1.77</v>
      </c>
      <c r="C97" s="1">
        <v>83</v>
      </c>
      <c r="D97" s="1">
        <v>26.4930256312043</v>
      </c>
      <c r="E97" s="1" t="str">
        <f t="shared" si="2"/>
        <v>Thừa cân</v>
      </c>
    </row>
    <row r="98" spans="1:5">
      <c r="A98" s="1">
        <v>97</v>
      </c>
      <c r="B98" s="1">
        <v>1.7</v>
      </c>
      <c r="C98" s="1">
        <v>50</v>
      </c>
      <c r="D98" s="1">
        <v>17.3010380622837</v>
      </c>
      <c r="E98" s="1" t="str">
        <f t="shared" si="2"/>
        <v>Gầy</v>
      </c>
    </row>
    <row r="99" spans="1:5">
      <c r="A99" s="1">
        <v>98</v>
      </c>
      <c r="B99" s="1">
        <v>1.76</v>
      </c>
      <c r="C99" s="1">
        <v>46</v>
      </c>
      <c r="D99" s="1">
        <v>14.8502066115702</v>
      </c>
      <c r="E99" s="1" t="str">
        <f t="shared" si="2"/>
        <v>Gầy</v>
      </c>
    </row>
    <row r="100" spans="1:5">
      <c r="A100" s="1">
        <v>99</v>
      </c>
      <c r="B100" s="1">
        <v>1.81</v>
      </c>
      <c r="C100" s="1">
        <v>75</v>
      </c>
      <c r="D100" s="1">
        <v>22.8930740819877</v>
      </c>
      <c r="E100" s="1" t="str">
        <f t="shared" si="2"/>
        <v>Bình thường</v>
      </c>
    </row>
    <row r="101" spans="1:5">
      <c r="A101" s="1">
        <v>100</v>
      </c>
      <c r="B101" s="1">
        <v>1.79</v>
      </c>
      <c r="C101" s="1">
        <v>52</v>
      </c>
      <c r="D101" s="1">
        <v>16.2292063293905</v>
      </c>
      <c r="E101" s="1" t="str">
        <f t="shared" si="2"/>
        <v>Gầy</v>
      </c>
    </row>
  </sheetData>
  <pageMargins left="1" right="1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Internet_Data</vt:lpstr>
      <vt:lpstr>BMI_Data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Bảo Đoàn</cp:lastModifiedBy>
  <dcterms:created xsi:type="dcterms:W3CDTF">2025-12-26T03:37:00Z</dcterms:created>
  <dcterms:modified xsi:type="dcterms:W3CDTF">2025-12-27T10:21:59Z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8E2B5B9A031449ABB1940E7ECC3F85D5_12</vt:lpwstr>
  </property>
  <property fmtid="{D5CDD505-2E9C-101B-9397-08002B2CF9AE}" pid="3" name="KSOProductBuildVer">
    <vt:lpwstr>1033-12.2.0.23196</vt:lpwstr>
  </property>
</Properties>
</file>