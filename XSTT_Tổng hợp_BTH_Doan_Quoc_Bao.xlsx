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2"/>
  </bookViews>
  <sheets>
    <sheet name="Sheet1" sheetId="1" r:id="rId1"/>
    <sheet name="Sheet2" sheetId="5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<sst xmlns="http://schemas.openxmlformats.org/spreadsheetml/2006/main" count="98" uniqueCount="76">
  <si>
    <t>HƯỚNG DẪN</t>
  </si>
  <si>
    <t>Bài 1: Lập bảng dạng khoảng</t>
  </si>
  <si>
    <t>xi</t>
  </si>
  <si>
    <t>ni</t>
  </si>
  <si>
    <t>[50; 70)</t>
  </si>
  <si>
    <t>COUNTIFS(Phạm vi; "Đk1"; Phạm vi; "Đk2")</t>
  </si>
  <si>
    <t>Ví dụ: COUNTIFS(A1:J3; "&gt;=50"; A1:J3; "&lt;70")</t>
  </si>
  <si>
    <t>[70; 90)</t>
  </si>
  <si>
    <t>[90; 110)</t>
  </si>
  <si>
    <t>[110; 130)</t>
  </si>
  <si>
    <t>[130; 145]</t>
  </si>
  <si>
    <t>Bài 2:</t>
  </si>
  <si>
    <t>xi*ni</t>
  </si>
  <si>
    <t>(xi^2)*ni</t>
  </si>
  <si>
    <t>COUNTIF</t>
  </si>
  <si>
    <t>tổng</t>
  </si>
  <si>
    <t>n</t>
  </si>
  <si>
    <t>A</t>
  </si>
  <si>
    <t>B</t>
  </si>
  <si>
    <t>Bài 3:</t>
  </si>
  <si>
    <t>cách 1(nhập công thức)</t>
  </si>
  <si>
    <t>cách 2</t>
  </si>
  <si>
    <t>Trung bình mẫu</t>
  </si>
  <si>
    <t>AVERAGE(phạm vi)</t>
  </si>
  <si>
    <t>Phương sai mẫu</t>
  </si>
  <si>
    <t>VAR.S(phạm vi)</t>
  </si>
  <si>
    <t>Độ lệch chuẩn mẫu</t>
  </si>
  <si>
    <t>STDEV.S(phạm vi)</t>
  </si>
  <si>
    <t>Trung vị</t>
  </si>
  <si>
    <t>MEDIAN</t>
  </si>
  <si>
    <t>Mode</t>
  </si>
  <si>
    <t>MODE</t>
  </si>
  <si>
    <t>Tên</t>
  </si>
  <si>
    <t>Hàm công thức</t>
  </si>
  <si>
    <t>Ghi chú</t>
  </si>
  <si>
    <t>cỡ mẫu</t>
  </si>
  <si>
    <t>COUNT(pvi)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</si>
  <si>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</si>
  <si>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</si>
  <si>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</si>
  <si>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</si>
  <si>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</si>
  <si>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</si>
  <si>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>CONFIDENCE.NORM(anpha; độ lệch chuẩn; cỡ mẫu)</t>
  </si>
  <si>
    <t>dùng giá trị tới hạn chuẩn</t>
  </si>
  <si>
    <t>CONFIDENCE.T(anpha; độ lệch chuẩn; cỡ mẫu)</t>
  </si>
  <si>
    <t>dùng giá trị tới hạn student</t>
  </si>
  <si>
    <t xml:space="preserve">cận trên </t>
  </si>
  <si>
    <t>tbm + sai số</t>
  </si>
  <si>
    <t>cận dưới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</si>
  <si>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</si>
  <si>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</si>
  <si>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</si>
  <si>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</si>
  <si>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</si>
  <si>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</si>
  <si>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</si>
  <si>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</si>
  <si>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Bài 1: Cho bộ dữ liệu</t>
  </si>
  <si>
    <t>Hãy hoàn thiện bảng:</t>
  </si>
  <si>
    <t>TB</t>
  </si>
  <si>
    <t>psai</t>
  </si>
  <si>
    <t>ĐLC</t>
  </si>
  <si>
    <t>sai số</t>
  </si>
  <si>
    <t>cận trên</t>
  </si>
  <si>
    <t>Bài 2: Cho bộ dữ liệu</t>
  </si>
  <si>
    <t>Cho bộ dữ liệu</t>
  </si>
  <si>
    <t>Hoàn thiện bảng sau:</t>
  </si>
  <si>
    <t>trung bình mẫu</t>
  </si>
  <si>
    <t>giá trị tới hạn khi - bình phương</t>
  </si>
  <si>
    <t>=CHISQ.INV(anpha; bậc tự do)</t>
  </si>
  <si>
    <t>X^2_(α/2; n-1)</t>
  </si>
  <si>
    <t>X^2_(1-α/2; n-1)</t>
  </si>
  <si>
    <t>ước lượng cho phương sai</t>
  </si>
  <si>
    <t>((n-1)*psm)/(X^2_(α/2; n-1))</t>
  </si>
  <si>
    <t>((n-1)*psm)/(X^2_(1-α/2; n-1))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</si>
</sst>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000"/>
  </numFmts>
  <fonts count="32">
    <font>
      <sz val="12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0"/>
      <color rgb="FF000000"/>
      <name val="Times New Roman"/>
      <charset val="134"/>
    </font>
    <font>
      <b/>
      <sz val="20"/>
      <color theme="1"/>
      <name val="Calibri"/>
      <charset val="134"/>
      <scheme val="minor"/>
    </font>
    <font>
      <sz val="20"/>
      <color theme="1"/>
      <name val="Cambria Math"/>
      <charset val="134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Arial"/>
      <charset val="134"/>
    </font>
    <font>
      <b/>
      <sz val="11"/>
      <color rgb="FF000000"/>
      <name val="Arial"/>
      <charset val="134"/>
    </font>
    <font>
      <sz val="12"/>
      <color rgb="FF000000"/>
      <name val="Calibri"/>
      <charset val="134"/>
      <scheme val="minor"/>
    </font>
    <font>
      <b/>
      <sz val="20"/>
      <color theme="1"/>
      <name val="Times New Roman"/>
      <charset val="134"/>
    </font>
    <font>
      <sz val="2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2" applyNumberFormat="0" applyAlignment="0" applyProtection="0">
      <alignment vertical="center"/>
    </xf>
    <xf numFmtId="0" fontId="22" fillId="4" borderId="13" applyNumberFormat="0" applyAlignment="0" applyProtection="0">
      <alignment vertical="center"/>
    </xf>
    <xf numFmtId="0" fontId="23" fillId="4" borderId="12" applyNumberFormat="0" applyAlignment="0" applyProtection="0">
      <alignment vertical="center"/>
    </xf>
    <xf numFmtId="0" fontId="24" fillId="5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/>
    <xf numFmtId="0" fontId="3" fillId="0" borderId="2" xfId="0" applyFont="1" applyBorder="1" applyAlignment="1">
      <alignment horizontal="center" vertic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4" fillId="0" borderId="2" xfId="0" applyFont="1" applyBorder="1"/>
    <xf numFmtId="0" fontId="3" fillId="0" borderId="2" xfId="0" applyNumberFormat="1" applyFont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/>
    <xf numFmtId="0" fontId="6" fillId="0" borderId="0" xfId="0" applyFont="1" applyBorder="1"/>
    <xf numFmtId="0" fontId="0" fillId="0" borderId="0" xfId="0" applyBorder="1"/>
    <xf numFmtId="0" fontId="7" fillId="0" borderId="2" xfId="0" applyFont="1" applyBorder="1" applyAlignment="1">
      <alignment horizontal="justify" vertical="center" readingOrder="1"/>
    </xf>
    <xf numFmtId="0" fontId="8" fillId="0" borderId="0" xfId="0" applyFont="1" applyBorder="1" applyAlignment="1">
      <alignment horizontal="justify" vertical="center" readingOrder="1"/>
    </xf>
    <xf numFmtId="0" fontId="7" fillId="0" borderId="0" xfId="0" applyFont="1" applyBorder="1" applyAlignment="1">
      <alignment horizontal="justify" vertical="center" readingOrder="1"/>
    </xf>
    <xf numFmtId="178" fontId="9" fillId="0" borderId="2" xfId="0" applyNumberFormat="1" applyFont="1" applyBorder="1"/>
    <xf numFmtId="178" fontId="9" fillId="0" borderId="3" xfId="0" applyNumberFormat="1" applyFont="1" applyBorder="1"/>
    <xf numFmtId="178" fontId="9" fillId="0" borderId="4" xfId="0" applyNumberFormat="1" applyFont="1" applyBorder="1"/>
    <xf numFmtId="178" fontId="9" fillId="0" borderId="5" xfId="0" applyNumberFormat="1" applyFont="1" applyBorder="1"/>
    <xf numFmtId="179" fontId="0" fillId="0" borderId="0" xfId="0" applyNumberForma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1" fillId="0" borderId="6" xfId="0" applyFont="1" applyBorder="1"/>
    <xf numFmtId="0" fontId="11" fillId="0" borderId="2" xfId="0" applyFont="1" applyBorder="1"/>
    <xf numFmtId="0" fontId="10" fillId="0" borderId="2" xfId="0" applyFont="1" applyBorder="1"/>
    <xf numFmtId="0" fontId="11" fillId="0" borderId="0" xfId="0" applyFont="1" applyBorder="1"/>
    <xf numFmtId="0" fontId="1" fillId="0" borderId="0" xfId="0" applyFont="1"/>
    <xf numFmtId="0" fontId="1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0" fillId="0" borderId="2" xfId="0" applyNumberFormat="1" applyFont="1" applyBorder="1" applyAlignment="1">
      <alignment horizontal="center"/>
    </xf>
    <xf numFmtId="0" fontId="10" fillId="0" borderId="0" xfId="0" applyFont="1"/>
    <xf numFmtId="0" fontId="11" fillId="0" borderId="7" xfId="0" applyFont="1" applyBorder="1"/>
    <xf numFmtId="0" fontId="11" fillId="0" borderId="8" xfId="0" applyFont="1" applyBorder="1"/>
    <xf numFmtId="0" fontId="10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" fillId="0" borderId="0" xfId="0" applyFo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zoomScale="50" zoomScaleNormal="50" workbookViewId="0">
      <selection activeCell="E16" sqref="E16"/>
    </sheetView>
  </sheetViews>
  <sheetFormatPr defaultColWidth="10.8333333333333" defaultRowHeight="25.2"/>
  <cols>
    <col min="1" max="1" width="10.8333333333333" style="23"/>
    <col min="2" max="2" width="30.1666666666667" style="23" customWidth="1"/>
    <col min="3" max="3" width="35.6666666666667" style="23" customWidth="1"/>
    <col min="4" max="4" width="17.1666666666667" style="23" customWidth="1"/>
    <col min="5" max="5" width="14.8333333333333" style="23" customWidth="1"/>
    <col min="6" max="12" width="10.8333333333333" style="23"/>
    <col min="13" max="13" width="10.3333333333333" style="24" customWidth="1"/>
    <col min="14" max="14" width="14.8333333333333" style="23" customWidth="1"/>
    <col min="15" max="15" width="10.8333333333333" style="23"/>
    <col min="16" max="16" width="25.1666666666667" style="23" customWidth="1"/>
    <col min="17" max="18" width="10.8333333333333" style="23"/>
    <col min="19" max="19" width="13" style="23" customWidth="1"/>
    <col min="20" max="16384" width="10.8333333333333" style="23"/>
  </cols>
  <sheetData>
    <row r="1" spans="1:16">
      <c r="A1" s="25">
        <v>50</v>
      </c>
      <c r="B1" s="25">
        <v>70</v>
      </c>
      <c r="C1" s="25">
        <v>65</v>
      </c>
      <c r="D1" s="25">
        <v>80</v>
      </c>
      <c r="E1" s="25">
        <v>55</v>
      </c>
      <c r="F1" s="25">
        <v>95</v>
      </c>
      <c r="G1" s="25">
        <v>85</v>
      </c>
      <c r="H1" s="25">
        <v>60</v>
      </c>
      <c r="I1" s="25">
        <v>100</v>
      </c>
      <c r="J1" s="25">
        <v>75</v>
      </c>
      <c r="M1" s="34"/>
      <c r="P1" s="33" t="s">
        <v>0</v>
      </c>
    </row>
    <row r="2" spans="1:13">
      <c r="A2" s="25">
        <v>110</v>
      </c>
      <c r="B2" s="25">
        <v>90</v>
      </c>
      <c r="C2" s="25">
        <v>65</v>
      </c>
      <c r="D2" s="25">
        <v>55</v>
      </c>
      <c r="E2" s="25">
        <v>120</v>
      </c>
      <c r="F2" s="25">
        <v>105</v>
      </c>
      <c r="G2" s="25">
        <v>130</v>
      </c>
      <c r="H2" s="25">
        <v>60</v>
      </c>
      <c r="I2" s="25">
        <v>140</v>
      </c>
      <c r="J2" s="25">
        <v>125</v>
      </c>
      <c r="M2" s="34"/>
    </row>
    <row r="3" spans="1:13">
      <c r="A3" s="25">
        <v>115</v>
      </c>
      <c r="B3" s="25">
        <v>95</v>
      </c>
      <c r="C3" s="25">
        <v>70</v>
      </c>
      <c r="D3" s="25">
        <v>135</v>
      </c>
      <c r="E3" s="25">
        <v>80</v>
      </c>
      <c r="F3" s="25">
        <v>65</v>
      </c>
      <c r="G3" s="25">
        <v>145</v>
      </c>
      <c r="H3" s="25">
        <v>85</v>
      </c>
      <c r="I3" s="25">
        <v>90</v>
      </c>
      <c r="J3" s="25">
        <v>75</v>
      </c>
      <c r="M3" s="34"/>
    </row>
    <row r="4" spans="13:13">
      <c r="M4" s="34"/>
    </row>
    <row r="5" spans="1:13">
      <c r="A5" s="23" t="s">
        <v>1</v>
      </c>
      <c r="M5" s="34"/>
    </row>
    <row r="6" spans="13:13">
      <c r="M6" s="34"/>
    </row>
    <row r="7" spans="2:14">
      <c r="B7" s="26" t="s">
        <v>2</v>
      </c>
      <c r="C7" s="26" t="s">
        <v>3</v>
      </c>
      <c r="D7" s="27"/>
      <c r="E7" s="27"/>
      <c r="F7" s="27"/>
      <c r="G7" s="27"/>
      <c r="H7" s="27"/>
      <c r="I7" s="27"/>
      <c r="J7" s="27"/>
      <c r="K7" s="27"/>
      <c r="L7" s="27"/>
      <c r="M7" s="34"/>
      <c r="N7" s="27"/>
    </row>
    <row r="8" ht="25.8" spans="2:26">
      <c r="B8" s="25" t="s">
        <v>4</v>
      </c>
      <c r="C8" s="28">
        <f>COUNTIFS(A1:J3,"&gt;=50",A1:J3,"&lt;70")</f>
        <v>8</v>
      </c>
      <c r="M8" s="34"/>
      <c r="N8" s="35" t="s">
        <v>5</v>
      </c>
      <c r="O8" s="25"/>
      <c r="P8" s="25"/>
      <c r="Q8" s="25"/>
      <c r="R8" s="25"/>
      <c r="S8" s="25"/>
      <c r="T8" s="25" t="s">
        <v>6</v>
      </c>
      <c r="U8" s="25"/>
      <c r="V8" s="25"/>
      <c r="W8" s="25"/>
      <c r="X8" s="25"/>
      <c r="Y8" s="25"/>
      <c r="Z8" s="34"/>
    </row>
    <row r="9" spans="2:13">
      <c r="B9" s="25" t="s">
        <v>7</v>
      </c>
      <c r="C9" s="25">
        <f>COUNTIFS(A1:J3,"&gt;=70",A1:J3,"&lt;90")</f>
        <v>8</v>
      </c>
      <c r="M9" s="34"/>
    </row>
    <row r="10" spans="2:13">
      <c r="B10" s="25" t="s">
        <v>8</v>
      </c>
      <c r="C10" s="25">
        <f>COUNTIFS(A1:J3,"&gt;=90",A1:J3,"&lt;110")</f>
        <v>6</v>
      </c>
      <c r="M10" s="34"/>
    </row>
    <row r="11" spans="2:13">
      <c r="B11" s="25" t="s">
        <v>9</v>
      </c>
      <c r="C11" s="25">
        <f>COUNTIFS(A1:J3,"&gt;=110",A1:J3,"&lt;130")</f>
        <v>4</v>
      </c>
      <c r="M11" s="34"/>
    </row>
    <row r="12" spans="2:13">
      <c r="B12" s="25" t="s">
        <v>10</v>
      </c>
      <c r="C12" s="25">
        <f>COUNTIFS(A1:J3,"&gt;=130",A1:J3,"&lt;145")</f>
        <v>3</v>
      </c>
      <c r="M12" s="34"/>
    </row>
    <row r="13" spans="13:13">
      <c r="M13" s="34"/>
    </row>
    <row r="14" spans="1:13">
      <c r="A14" s="23" t="s">
        <v>11</v>
      </c>
      <c r="M14" s="34"/>
    </row>
    <row r="15" s="21" customFormat="1" ht="24.6" spans="2:13">
      <c r="B15" s="29" t="s">
        <v>2</v>
      </c>
      <c r="C15" s="29" t="s">
        <v>3</v>
      </c>
      <c r="D15" s="29" t="s">
        <v>12</v>
      </c>
      <c r="E15" s="29" t="s">
        <v>13</v>
      </c>
      <c r="M15" s="36"/>
    </row>
    <row r="16" s="22" customFormat="1" spans="2:16">
      <c r="B16" s="30">
        <v>60</v>
      </c>
      <c r="C16" s="31">
        <f>COUNTIF(A1:J3,60)</f>
        <v>2</v>
      </c>
      <c r="D16" s="30">
        <f>B16*C16</f>
        <v>120</v>
      </c>
      <c r="E16" s="30">
        <f>(B16^2)*C16</f>
        <v>7200</v>
      </c>
      <c r="M16" s="37"/>
      <c r="N16" s="31" t="s">
        <v>14</v>
      </c>
      <c r="O16" s="31"/>
      <c r="P16" s="31"/>
    </row>
    <row r="17" s="22" customFormat="1" spans="2:13">
      <c r="B17" s="30">
        <v>80</v>
      </c>
      <c r="C17" s="30">
        <f>COUNTIF(A1:J3,80)</f>
        <v>2</v>
      </c>
      <c r="D17" s="30">
        <f>B17*C17</f>
        <v>160</v>
      </c>
      <c r="E17" s="30">
        <f>(B17^2)*C17</f>
        <v>12800</v>
      </c>
      <c r="M17" s="37"/>
    </row>
    <row r="18" s="22" customFormat="1" spans="2:13">
      <c r="B18" s="30">
        <v>100</v>
      </c>
      <c r="C18" s="30">
        <f>COUNTIF(A1:J3,100)</f>
        <v>1</v>
      </c>
      <c r="D18" s="30">
        <f>B18*C18</f>
        <v>100</v>
      </c>
      <c r="E18" s="30">
        <f>(B18^2)*C18</f>
        <v>10000</v>
      </c>
      <c r="M18" s="37"/>
    </row>
    <row r="19" s="22" customFormat="1" spans="2:13">
      <c r="B19" s="30">
        <v>120</v>
      </c>
      <c r="C19" s="30">
        <f>COUNTIF(A1:J3,120)</f>
        <v>1</v>
      </c>
      <c r="D19" s="30">
        <f>B19*C19</f>
        <v>120</v>
      </c>
      <c r="E19" s="30">
        <f>(B19^2)*C19</f>
        <v>14400</v>
      </c>
      <c r="M19" s="37"/>
    </row>
    <row r="20" s="22" customFormat="1" spans="2:13">
      <c r="B20" s="30">
        <v>137.5</v>
      </c>
      <c r="C20" s="30">
        <f>COUNTIF(A1:J3,137.5)</f>
        <v>0</v>
      </c>
      <c r="D20" s="30">
        <f>B20*C20</f>
        <v>0</v>
      </c>
      <c r="E20" s="30">
        <f>(B20^2)*C20</f>
        <v>0</v>
      </c>
      <c r="M20" s="37"/>
    </row>
    <row r="21" s="21" customFormat="1" ht="24.6" spans="2:13">
      <c r="B21" s="29" t="s">
        <v>15</v>
      </c>
      <c r="C21" s="32">
        <f>SUM(C16:C20)</f>
        <v>6</v>
      </c>
      <c r="D21" s="32">
        <f>SUM(D16:D20)</f>
        <v>500</v>
      </c>
      <c r="E21" s="32">
        <f>SUM(E16:E20)</f>
        <v>44400</v>
      </c>
      <c r="M21" s="36"/>
    </row>
    <row r="22" spans="3:13">
      <c r="C22" s="22" t="s">
        <v>16</v>
      </c>
      <c r="D22" s="22" t="s">
        <v>17</v>
      </c>
      <c r="E22" s="22" t="s">
        <v>18</v>
      </c>
      <c r="M22" s="34"/>
    </row>
    <row r="23" spans="1:13">
      <c r="A23" s="23" t="s">
        <v>19</v>
      </c>
      <c r="C23" s="22"/>
      <c r="D23" s="22"/>
      <c r="E23" s="22"/>
      <c r="M23" s="34"/>
    </row>
    <row r="24" spans="2:13">
      <c r="B24" s="27"/>
      <c r="C24" s="33" t="s">
        <v>20</v>
      </c>
      <c r="D24" s="33" t="s">
        <v>21</v>
      </c>
      <c r="M24" s="34"/>
    </row>
    <row r="25" spans="2:14">
      <c r="B25" s="25" t="s">
        <v>22</v>
      </c>
      <c r="C25" s="25">
        <f>AVERAGE(A1:J3)</f>
        <v>89.6666666666667</v>
      </c>
      <c r="D25" s="25"/>
      <c r="E25" s="27"/>
      <c r="F25" s="27"/>
      <c r="G25" s="27"/>
      <c r="H25" s="27"/>
      <c r="M25" s="34"/>
      <c r="N25" s="23" t="s">
        <v>23</v>
      </c>
    </row>
    <row r="26" spans="2:14">
      <c r="B26" s="25" t="s">
        <v>24</v>
      </c>
      <c r="C26" s="25">
        <f>_xlfn.VAR.S(A1:J3)</f>
        <v>755.057471264368</v>
      </c>
      <c r="D26" s="25"/>
      <c r="E26" s="27"/>
      <c r="F26" s="27"/>
      <c r="G26" s="27"/>
      <c r="H26" s="27"/>
      <c r="M26" s="34"/>
      <c r="N26" s="23" t="s">
        <v>25</v>
      </c>
    </row>
    <row r="27" spans="2:14">
      <c r="B27" s="25" t="s">
        <v>26</v>
      </c>
      <c r="C27" s="25">
        <f>_xlfn.STDEV.S(A1:J3)</f>
        <v>27.4783091048989</v>
      </c>
      <c r="D27" s="25"/>
      <c r="E27" s="27"/>
      <c r="F27" s="27"/>
      <c r="G27" s="27"/>
      <c r="H27" s="27"/>
      <c r="M27" s="34"/>
      <c r="N27" s="23" t="s">
        <v>27</v>
      </c>
    </row>
    <row r="28" spans="2:14">
      <c r="B28" s="25" t="s">
        <v>28</v>
      </c>
      <c r="C28" s="25">
        <f>MEDIAN(A1:J3)</f>
        <v>85</v>
      </c>
      <c r="D28" s="25"/>
      <c r="E28" s="27"/>
      <c r="F28" s="27"/>
      <c r="G28" s="27"/>
      <c r="H28" s="27"/>
      <c r="M28" s="34"/>
      <c r="N28" s="23" t="s">
        <v>29</v>
      </c>
    </row>
    <row r="29" spans="2:14">
      <c r="B29" s="25" t="s">
        <v>30</v>
      </c>
      <c r="C29" s="25" cm="1">
        <f t="array" ref="C29">MODE(A1:J3)</f>
        <v>65</v>
      </c>
      <c r="D29" s="25"/>
      <c r="E29" s="27"/>
      <c r="F29" s="27"/>
      <c r="G29" s="27"/>
      <c r="H29" s="27"/>
      <c r="M29" s="34"/>
      <c r="N29" s="23" t="s">
        <v>31</v>
      </c>
    </row>
    <row r="30" spans="13:13">
      <c r="M30" s="3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42"/>
  <sheetViews>
    <sheetView zoomScale="65" zoomScaleNormal="65" workbookViewId="0">
      <selection activeCell="B26" sqref="B26"/>
    </sheetView>
  </sheetViews>
  <sheetFormatPr defaultColWidth="11" defaultRowHeight="15.6"/>
  <cols>
    <col min="1" max="1" width="20" customWidth="1"/>
    <col min="2" max="2" width="15.3333333333333" customWidth="1"/>
    <col min="3" max="3" width="43.6666666666667" customWidth="1"/>
    <col min="4" max="4" width="24.1666666666667" customWidth="1"/>
  </cols>
  <sheetData>
    <row r="2" spans="1:5">
      <c r="A2" s="9" t="s">
        <v>32</v>
      </c>
      <c r="B2" s="9"/>
      <c r="C2" s="9" t="s">
        <v>33</v>
      </c>
      <c r="D2" s="9" t="s">
        <v>34</v>
      </c>
      <c r="E2" s="9"/>
    </row>
    <row r="3" spans="1:5">
      <c r="A3" s="10" t="s">
        <v>35</v>
      </c>
      <c r="B3" s="10"/>
      <c r="C3" s="10" t="s">
        <v>36</v>
      </c>
      <c r="D3" s="10"/>
      <c r="E3" s="10"/>
    </row>
    <row r="4" spans="1:5">
      <c r="A4" s="10" t="s">
        <v>37</v>
      </c>
      <c r="B4" s="10"/>
      <c r="C4" s="10" t="s">
        <v>23</v>
      </c>
      <c r="D4" s="10"/>
      <c r="E4" s="10"/>
    </row>
    <row r="5" spans="1:5">
      <c r="A5" s="10" t="s">
        <v>38</v>
      </c>
      <c r="B5" s="10"/>
      <c r="C5" s="10" t="s">
        <v>39</v>
      </c>
      <c r="D5" s="10"/>
      <c r="E5" s="10"/>
    </row>
    <row r="6" spans="1:5">
      <c r="A6" s="10" t="s">
        <v>40</v>
      </c>
      <c r="B6" s="10"/>
      <c r="C6" s="10" t="s">
        <v>41</v>
      </c>
      <c r="D6" s="10"/>
      <c r="E6" s="10"/>
    </row>
    <row r="7" spans="1:5">
      <c r="A7" s="10"/>
      <c r="B7" s="10"/>
      <c r="C7" s="10"/>
      <c r="D7" s="10"/>
      <c r="E7" s="10"/>
    </row>
    <row r="8" spans="1:5">
      <c r="A8" s="10" t="s">
        <v>42</v>
      </c>
      <c r="B8" s="10"/>
      <c r="C8" s="10" t="s">
        <v>43</v>
      </c>
      <c r="D8" s="10" t="s">
        <v>44</v>
      </c>
      <c r="E8" s="10"/>
    </row>
    <row r="9" spans="1:5">
      <c r="A9" s="10"/>
      <c r="B9" s="10"/>
      <c r="C9" s="10" t="s">
        <v>45</v>
      </c>
      <c r="D9" s="10" t="s">
        <v>46</v>
      </c>
      <c r="E9" s="10"/>
    </row>
    <row r="10" spans="1:5">
      <c r="A10" s="10"/>
      <c r="B10" s="10"/>
      <c r="C10" s="10"/>
      <c r="D10" s="10"/>
      <c r="E10" s="10"/>
    </row>
    <row r="11" spans="1:5">
      <c r="A11" s="10" t="s">
        <v>47</v>
      </c>
      <c r="B11" s="10"/>
      <c r="C11" s="10" t="s">
        <v>48</v>
      </c>
      <c r="D11" s="10"/>
      <c r="E11" s="10"/>
    </row>
    <row r="12" spans="1:5">
      <c r="A12" s="10" t="s">
        <v>49</v>
      </c>
      <c r="B12" s="10"/>
      <c r="C12" s="10" t="s">
        <v>50</v>
      </c>
      <c r="D12" s="10"/>
      <c r="E12" s="10"/>
    </row>
    <row r="13" spans="1:5">
      <c r="A13" s="10"/>
      <c r="B13" s="10"/>
      <c r="C13" s="10"/>
      <c r="D13" s="10"/>
      <c r="E13" s="10"/>
    </row>
    <row r="14" spans="1:5">
      <c r="A14" s="10" t="s">
        <v>51</v>
      </c>
      <c r="B14" s="10" t="s">
        <v>52</v>
      </c>
      <c r="C14" s="10" t="s">
        <v>53</v>
      </c>
      <c r="D14" s="10"/>
      <c r="E14" s="10"/>
    </row>
    <row r="15" spans="1:5">
      <c r="A15" s="10"/>
      <c r="B15" s="10" t="s">
        <v>54</v>
      </c>
      <c r="C15" s="10" t="s">
        <v>55</v>
      </c>
      <c r="D15" s="10"/>
      <c r="E15" s="10"/>
    </row>
    <row r="16" spans="1:5">
      <c r="A16" s="10"/>
      <c r="B16" s="10" t="s">
        <v>56</v>
      </c>
      <c r="C16" s="10" t="s">
        <v>57</v>
      </c>
      <c r="D16" s="10"/>
      <c r="E16" s="10"/>
    </row>
    <row r="17" spans="1:5">
      <c r="A17" s="11" t="s">
        <v>58</v>
      </c>
      <c r="B17" s="12"/>
      <c r="C17" s="12"/>
      <c r="D17" s="12"/>
      <c r="E17" s="12"/>
    </row>
    <row r="18" spans="1:12">
      <c r="A18" s="13">
        <v>177</v>
      </c>
      <c r="B18" s="13">
        <v>165</v>
      </c>
      <c r="C18" s="13">
        <v>152</v>
      </c>
      <c r="D18" s="13">
        <v>174</v>
      </c>
      <c r="E18" s="13">
        <v>159</v>
      </c>
      <c r="F18" s="13">
        <v>166</v>
      </c>
      <c r="G18" s="13">
        <v>160</v>
      </c>
      <c r="H18" s="13">
        <v>152</v>
      </c>
      <c r="I18" s="13">
        <v>162</v>
      </c>
      <c r="J18" s="13">
        <v>175</v>
      </c>
      <c r="K18" s="13">
        <v>158</v>
      </c>
      <c r="L18" s="13">
        <v>169</v>
      </c>
    </row>
    <row r="19" spans="1:12">
      <c r="A19" s="13">
        <v>166</v>
      </c>
      <c r="B19" s="13">
        <v>162</v>
      </c>
      <c r="C19" s="13">
        <v>181</v>
      </c>
      <c r="D19" s="13">
        <v>168</v>
      </c>
      <c r="E19" s="13">
        <v>170</v>
      </c>
      <c r="F19" s="13">
        <v>150</v>
      </c>
      <c r="G19" s="13">
        <v>173</v>
      </c>
      <c r="H19" s="13">
        <v>164</v>
      </c>
      <c r="I19" s="13">
        <v>167</v>
      </c>
      <c r="J19" s="13">
        <v>177</v>
      </c>
      <c r="K19" s="13">
        <v>167</v>
      </c>
      <c r="L19" s="13">
        <v>175</v>
      </c>
    </row>
    <row r="20" spans="1:12">
      <c r="A20" s="13">
        <v>165</v>
      </c>
      <c r="B20" s="13">
        <v>182</v>
      </c>
      <c r="C20" s="13">
        <v>166</v>
      </c>
      <c r="D20" s="13">
        <v>158</v>
      </c>
      <c r="E20" s="13">
        <v>166</v>
      </c>
      <c r="F20" s="13">
        <v>170</v>
      </c>
      <c r="G20" s="13">
        <v>168</v>
      </c>
      <c r="H20" s="13">
        <v>165</v>
      </c>
      <c r="I20" s="13">
        <v>160</v>
      </c>
      <c r="J20" s="13">
        <v>160</v>
      </c>
      <c r="K20" s="13">
        <v>169</v>
      </c>
      <c r="L20" s="13">
        <v>166</v>
      </c>
    </row>
    <row r="21" spans="1:12">
      <c r="A21" s="14" t="s">
        <v>59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</row>
    <row r="22" spans="1:2">
      <c r="A22" s="10" t="s">
        <v>60</v>
      </c>
      <c r="B22" s="10">
        <f>AVERAGE(A18:L20)</f>
        <v>166.222222222222</v>
      </c>
    </row>
    <row r="23" spans="1:2">
      <c r="A23" s="10" t="s">
        <v>61</v>
      </c>
      <c r="B23" s="10">
        <f>_xlfn.VAR.S(A18:L20)</f>
        <v>57.9492063492063</v>
      </c>
    </row>
    <row r="24" spans="1:2">
      <c r="A24" s="10" t="s">
        <v>62</v>
      </c>
      <c r="B24" s="10">
        <f>_xlfn.STDEV.S(A18:L20)</f>
        <v>7.6124376088876</v>
      </c>
    </row>
    <row r="25" spans="1:2">
      <c r="A25" s="10" t="s">
        <v>35</v>
      </c>
      <c r="B25" s="10">
        <f>COUNT(A18:L20)</f>
        <v>36</v>
      </c>
    </row>
    <row r="26" spans="1:2">
      <c r="A26" s="10" t="s">
        <v>63</v>
      </c>
      <c r="B26" s="10">
        <f>CONFIDENCE(0.05,B24,B25)</f>
        <v>2.48668392466298</v>
      </c>
    </row>
    <row r="27" spans="1:2">
      <c r="A27" s="10" t="s">
        <v>64</v>
      </c>
      <c r="B27" s="10">
        <f>B22+B26</f>
        <v>168.708906146885</v>
      </c>
    </row>
    <row r="28" spans="1:1">
      <c r="A28" s="11" t="s">
        <v>65</v>
      </c>
    </row>
    <row r="29" spans="1:5">
      <c r="A29" s="16">
        <v>84.4</v>
      </c>
      <c r="B29" s="17">
        <v>73.5</v>
      </c>
      <c r="C29" s="17">
        <v>84.5</v>
      </c>
      <c r="D29" s="17">
        <v>93.5</v>
      </c>
      <c r="E29" s="17">
        <v>75.2</v>
      </c>
    </row>
    <row r="30" spans="1:5">
      <c r="A30" s="18">
        <v>66.8</v>
      </c>
      <c r="B30" s="19">
        <v>57.7</v>
      </c>
      <c r="C30" s="19">
        <v>79.4</v>
      </c>
      <c r="D30" s="19">
        <v>91</v>
      </c>
      <c r="E30" s="19">
        <v>129</v>
      </c>
    </row>
    <row r="31" spans="1:5">
      <c r="A31" s="18">
        <v>95.2</v>
      </c>
      <c r="B31" s="19">
        <v>88.3</v>
      </c>
      <c r="C31" s="19">
        <v>28.4</v>
      </c>
      <c r="D31" s="19">
        <v>77</v>
      </c>
      <c r="E31" s="19">
        <v>81.2</v>
      </c>
    </row>
    <row r="32" spans="1:5">
      <c r="A32" s="18">
        <v>101</v>
      </c>
      <c r="B32" s="19">
        <v>77.7</v>
      </c>
      <c r="C32" s="19">
        <v>90</v>
      </c>
      <c r="D32" s="19">
        <v>92.9</v>
      </c>
      <c r="E32" s="19">
        <v>80.8</v>
      </c>
    </row>
    <row r="33" spans="1:5">
      <c r="A33" s="18">
        <v>80.3</v>
      </c>
      <c r="B33" s="19">
        <v>88</v>
      </c>
      <c r="C33" s="19">
        <v>61.1</v>
      </c>
      <c r="D33" s="19">
        <v>63.8</v>
      </c>
      <c r="E33" s="19">
        <v>101</v>
      </c>
    </row>
    <row r="34" spans="1:2">
      <c r="A34" s="14" t="s">
        <v>59</v>
      </c>
      <c r="B34" s="15"/>
    </row>
    <row r="35" spans="1:2">
      <c r="A35" s="10" t="s">
        <v>60</v>
      </c>
      <c r="B35" s="10">
        <f>AVERAGE(A29:E33)</f>
        <v>81.668</v>
      </c>
    </row>
    <row r="36" spans="1:2">
      <c r="A36" s="10" t="s">
        <v>61</v>
      </c>
      <c r="B36" s="10">
        <f>_xlfn.VAR.S(A29:E33)</f>
        <v>342.603933333333</v>
      </c>
    </row>
    <row r="37" spans="1:2">
      <c r="A37" s="10" t="s">
        <v>62</v>
      </c>
      <c r="B37" s="10">
        <f>_xlfn.STDEV.S(A29:E33)</f>
        <v>18.509563293966</v>
      </c>
    </row>
    <row r="38" spans="1:2">
      <c r="A38" s="10" t="s">
        <v>35</v>
      </c>
      <c r="B38" s="10">
        <f>COUNT(A29:E33)</f>
        <v>25</v>
      </c>
    </row>
    <row r="39" spans="1:2">
      <c r="A39" s="10" t="s">
        <v>63</v>
      </c>
      <c r="B39" s="10">
        <f>CONFIDENCE(0.05,B35,B38)</f>
        <v>32.0132677378834</v>
      </c>
    </row>
    <row r="40" spans="1:2">
      <c r="A40" s="10" t="s">
        <v>64</v>
      </c>
      <c r="B40" s="10">
        <f>B35+B39</f>
        <v>113.681267737883</v>
      </c>
    </row>
    <row r="42" spans="1:2">
      <c r="A42" s="20"/>
      <c r="B42" s="20"/>
    </row>
  </sheetData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16"/>
  <sheetViews>
    <sheetView tabSelected="1" zoomScale="55" zoomScaleNormal="55" workbookViewId="0">
      <selection activeCell="I15" sqref="I15"/>
    </sheetView>
  </sheetViews>
  <sheetFormatPr defaultColWidth="10.8333333333333" defaultRowHeight="25.8"/>
  <cols>
    <col min="1" max="3" width="10.8333333333333" style="1"/>
    <col min="4" max="4" width="13.9" style="1"/>
    <col min="5" max="5" width="15.6666666666667" style="1" customWidth="1"/>
    <col min="6" max="7" width="10.8333333333333" style="1"/>
    <col min="8" max="8" width="44.8333333333333" style="1" customWidth="1"/>
    <col min="9" max="9" width="9.80833333333333" style="1" customWidth="1"/>
    <col min="10" max="10" width="41.8333333333333" style="1" customWidth="1"/>
    <col min="11" max="16384" width="10.8333333333333" style="1"/>
  </cols>
  <sheetData>
    <row r="2" spans="1:1">
      <c r="A2" s="1" t="s">
        <v>66</v>
      </c>
    </row>
    <row r="4" ht="25.95" spans="1:6">
      <c r="A4" s="2">
        <v>11.5</v>
      </c>
      <c r="B4" s="2">
        <v>11.6</v>
      </c>
      <c r="C4" s="2">
        <v>11.7</v>
      </c>
      <c r="D4" s="2">
        <v>11.8</v>
      </c>
      <c r="E4" s="2">
        <v>11.9</v>
      </c>
      <c r="F4" s="2">
        <v>12</v>
      </c>
    </row>
    <row r="5" ht="25.95" spans="1:6">
      <c r="A5" s="2">
        <v>5</v>
      </c>
      <c r="B5" s="2">
        <v>8</v>
      </c>
      <c r="C5" s="2">
        <v>4</v>
      </c>
      <c r="D5" s="2">
        <v>6</v>
      </c>
      <c r="E5" s="2">
        <v>4</v>
      </c>
      <c r="F5" s="2">
        <v>3</v>
      </c>
    </row>
    <row r="7" spans="1:1">
      <c r="A7" s="3" t="s">
        <v>67</v>
      </c>
    </row>
    <row r="8" spans="2:9">
      <c r="B8" s="4" t="s">
        <v>2</v>
      </c>
      <c r="C8" s="4" t="s">
        <v>3</v>
      </c>
      <c r="D8" s="4" t="s">
        <v>12</v>
      </c>
      <c r="E8" s="4" t="s">
        <v>13</v>
      </c>
      <c r="H8" s="5" t="s">
        <v>68</v>
      </c>
      <c r="I8" s="5">
        <f>AVERAGE(A4:F5)</f>
        <v>8.375</v>
      </c>
    </row>
    <row r="9" spans="2:9">
      <c r="B9" s="6">
        <v>11.5</v>
      </c>
      <c r="C9" s="6">
        <v>5</v>
      </c>
      <c r="D9" s="6">
        <f>B9*C9</f>
        <v>57.5</v>
      </c>
      <c r="E9" s="6">
        <f>(B9^2)*C9</f>
        <v>661.25</v>
      </c>
      <c r="H9" s="5" t="s">
        <v>38</v>
      </c>
      <c r="I9" s="5">
        <f>_xlfn.VAR.S(A4:F5)</f>
        <v>13.8965909090909</v>
      </c>
    </row>
    <row r="10" spans="2:10">
      <c r="B10" s="6">
        <v>11.6</v>
      </c>
      <c r="C10" s="6">
        <v>8</v>
      </c>
      <c r="D10" s="6">
        <f t="shared" ref="D10:D15" si="0">B10*C10</f>
        <v>92.8</v>
      </c>
      <c r="E10" s="6">
        <f>(B10^2)*C10</f>
        <v>1076.48</v>
      </c>
      <c r="H10" s="5" t="s">
        <v>69</v>
      </c>
      <c r="I10" s="5"/>
      <c r="J10" s="38" t="s">
        <v>70</v>
      </c>
    </row>
    <row r="11" ht="153" spans="2:9">
      <c r="B11" s="6">
        <v>11.7</v>
      </c>
      <c r="C11" s="6">
        <v>4</v>
      </c>
      <c r="D11" s="6">
        <f t="shared" si="0"/>
        <v>46.8</v>
      </c>
      <c r="E11" s="6">
        <f>(B11^2)*C11</f>
        <v>547.56</v>
      </c>
      <c r="H11" s="7" t="s">
        <v>71</v>
      </c>
      <c r="I11" s="5">
        <f>_xlfn.CHISQ.INV(0.025,29)</f>
        <v>16.0470716953649</v>
      </c>
    </row>
    <row r="12" ht="153" spans="2:9">
      <c r="B12" s="6">
        <v>11.8</v>
      </c>
      <c r="C12" s="6">
        <v>6</v>
      </c>
      <c r="D12" s="6">
        <f t="shared" si="0"/>
        <v>70.8</v>
      </c>
      <c r="E12" s="6">
        <f>(B12^2)*C12</f>
        <v>835.44</v>
      </c>
      <c r="H12" s="7" t="s">
        <v>72</v>
      </c>
      <c r="I12" s="5">
        <f>_xlfn.CHISQ.INV(0.975,29)</f>
        <v>45.7222858041745</v>
      </c>
    </row>
    <row r="13" spans="2:9">
      <c r="B13" s="6">
        <v>11.9</v>
      </c>
      <c r="C13" s="6">
        <v>4</v>
      </c>
      <c r="D13" s="6">
        <f t="shared" si="0"/>
        <v>47.6</v>
      </c>
      <c r="E13" s="6">
        <f>(B13^2)*C13</f>
        <v>566.44</v>
      </c>
      <c r="H13" s="5" t="s">
        <v>73</v>
      </c>
      <c r="I13" s="5"/>
    </row>
    <row r="14" spans="2:10">
      <c r="B14" s="6">
        <v>12</v>
      </c>
      <c r="C14" s="6">
        <v>3</v>
      </c>
      <c r="D14" s="6">
        <f t="shared" si="0"/>
        <v>36</v>
      </c>
      <c r="E14" s="6">
        <f>(B14^2)*C14</f>
        <v>432</v>
      </c>
      <c r="H14" s="5" t="s">
        <v>64</v>
      </c>
      <c r="I14" s="5">
        <f>(30-1)*0.02437/16.05</f>
        <v>0.0440330218068536</v>
      </c>
      <c r="J14" s="1" t="s">
        <v>74</v>
      </c>
    </row>
    <row r="15" spans="2:10">
      <c r="B15" s="4" t="s">
        <v>15</v>
      </c>
      <c r="C15" s="8">
        <f>SUM(C9:C14)</f>
        <v>30</v>
      </c>
      <c r="D15" s="8">
        <f>SUM(D9:D14)</f>
        <v>351.5</v>
      </c>
      <c r="E15" s="8">
        <f>SUM(E9:E14)</f>
        <v>4119.17</v>
      </c>
      <c r="H15" s="5" t="s">
        <v>49</v>
      </c>
      <c r="I15" s="5">
        <f>(30-1)*0.02437/45.72</f>
        <v>0.0154577865266842</v>
      </c>
      <c r="J15" s="1" t="s">
        <v>75</v>
      </c>
    </row>
    <row r="16" spans="3:5">
      <c r="C16" s="1" t="s">
        <v>16</v>
      </c>
      <c r="D16" s="1" t="s">
        <v>17</v>
      </c>
      <c r="E16" s="1" t="s">
        <v>18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Bảo Đoàn</cp:lastModifiedBy>
  <dcterms:created xsi:type="dcterms:W3CDTF">2025-01-04T07:27:00Z</dcterms:created>
  <dcterms:modified xsi:type="dcterms:W3CDTF">2026-01-14T10:27:55Z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06976D8C6C7A4B6186C4395B5773EB44_12</vt:lpwstr>
  </property>
  <property fmtid="{D5CDD505-2E9C-101B-9397-08002B2CF9AE}" pid="3" name="KSOProductBuildVer">
    <vt:lpwstr>1033-12.2.0.23196</vt:lpwstr>
  </property>
</Properties>
</file>